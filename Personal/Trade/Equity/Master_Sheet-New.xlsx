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3.xml" ContentType="application/vnd.ms-excel.threadedcomments+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Raja\Personal\Trade\Equity\"/>
    </mc:Choice>
  </mc:AlternateContent>
  <xr:revisionPtr revIDLastSave="0" documentId="13_ncr:1_{4C9C2794-72A7-481C-B4F8-37E0FA28F6D3}" xr6:coauthVersionLast="47" xr6:coauthVersionMax="47" xr10:uidLastSave="{00000000-0000-0000-0000-000000000000}"/>
  <bookViews>
    <workbookView xWindow="-110" yWindow="-110" windowWidth="19420" windowHeight="10420" tabRatio="913" firstSheet="3" activeTab="9" xr2:uid="{D2B19668-EEBA-40A2-8080-568A6FC77274}"/>
  </bookViews>
  <sheets>
    <sheet name="Strong stocks - long term" sheetId="2" r:id="rId1"/>
    <sheet name="PENNY STOCKS" sheetId="3" r:id="rId2"/>
    <sheet name="Investment Plan" sheetId="10" r:id="rId3"/>
    <sheet name="52 Weeks Low" sheetId="11" r:id="rId4"/>
    <sheet name="FMCG-FOCUS" sheetId="4" r:id="rId5"/>
    <sheet name="BANKING &amp; FINANCE - FOCUS" sheetId="5" r:id="rId6"/>
    <sheet name="RENEWABLE ENERGY - FOCUS" sheetId="6" r:id="rId7"/>
    <sheet name="EV - FOCUS" sheetId="7" r:id="rId8"/>
    <sheet name="HEALTH &amp; INSURANCE - FOCUS" sheetId="8" r:id="rId9"/>
    <sheet name="FOCUSED" sheetId="9" r:id="rId10"/>
  </sheets>
  <definedNames>
    <definedName name="_xlnm._FilterDatabase" localSheetId="3" hidden="1">'52 Weeks Low'!$B$1:$U$38</definedName>
    <definedName name="_xlnm._FilterDatabase" localSheetId="5" hidden="1">'BANKING &amp; FINANCE - FOCUS'!$A$1:$N$13</definedName>
    <definedName name="_xlnm._FilterDatabase" localSheetId="7" hidden="1">'EV - FOCUS'!$A$1:$N$10</definedName>
    <definedName name="_xlnm._FilterDatabase" localSheetId="9" hidden="1">FOCUSED!$A$1:$T$165</definedName>
    <definedName name="_xlnm._FilterDatabase" localSheetId="8" hidden="1">'HEALTH &amp; INSURANCE - FOCUS'!$A$1:$N$19</definedName>
    <definedName name="_xlnm._FilterDatabase" localSheetId="6" hidden="1">'RENEWABLE ENERGY - FOCUS'!$A$1:$N$17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5" i="10" l="1"/>
  <c r="O16" i="10"/>
  <c r="O17" i="10"/>
  <c r="O18" i="10"/>
  <c r="O19" i="10"/>
  <c r="O20" i="10"/>
  <c r="O21" i="10"/>
  <c r="O22" i="10"/>
  <c r="O23" i="10"/>
  <c r="O24" i="10"/>
  <c r="O25" i="10"/>
  <c r="O26" i="10"/>
  <c r="O27" i="10"/>
  <c r="O28" i="10"/>
  <c r="O29" i="10"/>
  <c r="G15" i="10"/>
  <c r="G16" i="10"/>
  <c r="G17" i="10"/>
  <c r="G18" i="10"/>
  <c r="G19" i="10"/>
  <c r="G20" i="10"/>
  <c r="G21" i="10"/>
  <c r="G22" i="10"/>
  <c r="G23" i="10"/>
  <c r="G24" i="10"/>
  <c r="G25" i="10"/>
  <c r="G26" i="10"/>
  <c r="G27" i="10"/>
  <c r="G14" i="10"/>
  <c r="N30" i="10"/>
  <c r="M30" i="10"/>
  <c r="D28" i="10"/>
  <c r="F28" i="10"/>
  <c r="L30" i="10"/>
  <c r="O14" i="10"/>
  <c r="A8" i="8"/>
  <c r="N11" i="10"/>
  <c r="M11" i="10"/>
  <c r="L11" i="10"/>
  <c r="O10" i="10"/>
  <c r="O9" i="10"/>
  <c r="O8" i="10"/>
  <c r="O7" i="10"/>
  <c r="O6" i="10"/>
  <c r="O5" i="10"/>
  <c r="O4" i="10"/>
  <c r="O3" i="10"/>
  <c r="D11" i="10"/>
  <c r="F11" i="10"/>
  <c r="G4" i="10"/>
  <c r="G5" i="10"/>
  <c r="G6" i="10"/>
  <c r="G7" i="10"/>
  <c r="G8" i="10"/>
  <c r="G9" i="10"/>
  <c r="G10" i="10"/>
  <c r="G3" i="10"/>
  <c r="E11" i="10"/>
  <c r="B153" i="9"/>
  <c r="B65" i="9"/>
  <c r="B49" i="9"/>
  <c r="B50" i="9"/>
  <c r="B155" i="9"/>
  <c r="B100" i="9"/>
  <c r="B158" i="9"/>
  <c r="B8" i="9"/>
  <c r="B76" i="9"/>
  <c r="B89" i="9"/>
  <c r="B128" i="9"/>
  <c r="B113" i="9"/>
  <c r="B55" i="9"/>
  <c r="B91" i="9"/>
  <c r="B134" i="9"/>
  <c r="B160" i="9"/>
  <c r="B86" i="9"/>
  <c r="B60" i="9"/>
  <c r="B136" i="9"/>
  <c r="B40" i="9"/>
  <c r="B25" i="9"/>
  <c r="B140" i="9"/>
  <c r="B16" i="9"/>
  <c r="B124" i="9"/>
  <c r="B126" i="9"/>
  <c r="B93" i="9"/>
  <c r="B146" i="9"/>
  <c r="B123" i="9"/>
  <c r="B141" i="9"/>
  <c r="B149" i="9"/>
  <c r="B102" i="9"/>
  <c r="B33" i="9"/>
  <c r="B12" i="9"/>
  <c r="B52" i="9"/>
  <c r="B104" i="9"/>
  <c r="B139" i="9"/>
  <c r="B31" i="9"/>
  <c r="B64" i="9"/>
  <c r="B6" i="9"/>
  <c r="B3" i="9"/>
  <c r="B72" i="9"/>
  <c r="B71" i="9"/>
  <c r="B130" i="9"/>
  <c r="B39" i="9"/>
  <c r="B127" i="9"/>
  <c r="B138" i="9"/>
  <c r="B87" i="9"/>
  <c r="B80" i="9"/>
  <c r="B32" i="9"/>
  <c r="B42" i="9"/>
  <c r="B43" i="9"/>
  <c r="B84" i="9"/>
  <c r="B30" i="9"/>
  <c r="B63" i="9"/>
  <c r="B154" i="9"/>
  <c r="B34" i="9"/>
  <c r="B157" i="9"/>
  <c r="B129" i="9"/>
  <c r="B21" i="9"/>
  <c r="B38" i="9"/>
  <c r="B54" i="9"/>
  <c r="B159" i="9"/>
  <c r="B161" i="9"/>
  <c r="B74" i="9"/>
  <c r="B95" i="9"/>
  <c r="B23" i="9"/>
  <c r="B48" i="9"/>
  <c r="B69" i="9"/>
  <c r="B51" i="9"/>
  <c r="B142" i="9"/>
  <c r="B132" i="9"/>
  <c r="B57" i="9"/>
  <c r="B111" i="9"/>
  <c r="B121" i="9"/>
  <c r="B15" i="9"/>
  <c r="B58" i="9"/>
  <c r="B11" i="9"/>
  <c r="B41" i="9"/>
  <c r="B20" i="9"/>
  <c r="B143" i="9"/>
  <c r="B99" i="9"/>
  <c r="B36" i="9"/>
  <c r="B144" i="9"/>
  <c r="B81" i="9"/>
  <c r="B164" i="9"/>
  <c r="B70" i="9"/>
  <c r="B105" i="9"/>
  <c r="B83" i="9"/>
  <c r="B45" i="9"/>
  <c r="B108" i="9"/>
  <c r="B156" i="9"/>
  <c r="B101" i="9"/>
  <c r="B162" i="9"/>
  <c r="B125" i="9"/>
  <c r="B82" i="9"/>
  <c r="B119" i="9"/>
  <c r="B98" i="9"/>
  <c r="B61" i="9"/>
  <c r="B44" i="9"/>
  <c r="B59" i="9"/>
  <c r="B66" i="9"/>
  <c r="B68" i="9"/>
  <c r="B147" i="9"/>
  <c r="B117" i="9"/>
  <c r="B53" i="9"/>
  <c r="B35" i="9"/>
  <c r="B114" i="9"/>
  <c r="B29" i="9"/>
  <c r="B27" i="9"/>
  <c r="B14" i="9"/>
  <c r="B88" i="9"/>
  <c r="B106" i="9"/>
  <c r="B46" i="9"/>
  <c r="B122" i="9"/>
  <c r="B56" i="9"/>
  <c r="B97" i="9"/>
  <c r="B163" i="9"/>
  <c r="B103" i="9"/>
  <c r="B133" i="9"/>
  <c r="B94" i="9"/>
  <c r="B109" i="9"/>
  <c r="B79" i="9"/>
  <c r="B115" i="9"/>
  <c r="B118" i="9"/>
  <c r="B107" i="9"/>
  <c r="B151" i="9"/>
  <c r="B152" i="9"/>
  <c r="B110" i="9"/>
  <c r="B112" i="9"/>
  <c r="B78" i="9"/>
  <c r="B77" i="9"/>
  <c r="B73" i="9"/>
  <c r="B62" i="9"/>
  <c r="B47" i="9"/>
  <c r="B131" i="9"/>
  <c r="B75" i="9"/>
  <c r="B116" i="9"/>
  <c r="B37" i="9"/>
  <c r="B24" i="9"/>
  <c r="B18" i="9"/>
  <c r="B28" i="9"/>
  <c r="B17" i="9"/>
  <c r="B5" i="9"/>
  <c r="B4" i="9"/>
  <c r="B2" i="9"/>
  <c r="B19" i="9"/>
  <c r="B13" i="9"/>
  <c r="B26" i="9"/>
  <c r="B85" i="9"/>
  <c r="B22" i="9"/>
  <c r="B92" i="9"/>
  <c r="B96" i="9"/>
  <c r="B10" i="9"/>
  <c r="B7" i="9"/>
  <c r="B67" i="9"/>
  <c r="A2" i="8"/>
  <c r="A11" i="8"/>
  <c r="A14" i="8"/>
  <c r="A4" i="8"/>
  <c r="A18" i="8"/>
  <c r="A19" i="8"/>
  <c r="A7" i="8"/>
  <c r="A9" i="6"/>
  <c r="A10" i="6"/>
  <c r="A11" i="6"/>
  <c r="A12" i="6"/>
  <c r="A13" i="6"/>
  <c r="A14" i="6"/>
  <c r="A15" i="6"/>
  <c r="A16" i="6"/>
  <c r="A17" i="6"/>
  <c r="O30" i="10" l="1"/>
  <c r="G28" i="10"/>
  <c r="O11" i="10"/>
  <c r="G11" i="10"/>
  <c r="E2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tc={7032221E-D172-40B3-8CCC-D85EFF42866F}</author>
  </authors>
  <commentList>
    <comment ref="L2" authorId="0" shapeId="0" xr:uid="{7032221E-D172-40B3-8CCC-D85EFF42866F}">
      <text>
        <t>[Threaded comment]
Your version of Excel allows you to read this threaded comment; however, any edits to it will get removed if the file is opened in a newer version of Excel. Learn more: https://go.microsoft.com/fwlink/?linkid=870924
Comment:
    PUBLIC HOLDING 68
Reply:
    BULK DEAL HIGHLIGHT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D14" authorId="0" shapeId="0" xr:uid="{B514FD1F-089E-4944-861F-153513A885E8}">
      <text>
        <r>
          <rPr>
            <b/>
            <sz val="9"/>
            <color indexed="81"/>
            <rFont val="Tahoma"/>
            <family val="2"/>
          </rPr>
          <t>Raja Natarajan:</t>
        </r>
        <r>
          <rPr>
            <sz val="9"/>
            <color indexed="81"/>
            <rFont val="Tahoma"/>
            <family val="2"/>
          </rPr>
          <t xml:space="preserve">
BUT AT DIP</t>
        </r>
      </text>
    </comment>
    <comment ref="L14" authorId="0" shapeId="0" xr:uid="{73E6576F-79E7-48C5-83BC-47A34956BB97}">
      <text>
        <r>
          <rPr>
            <b/>
            <sz val="9"/>
            <color indexed="81"/>
            <rFont val="Tahoma"/>
            <family val="2"/>
          </rPr>
          <t>Raja Natarajan:</t>
        </r>
        <r>
          <rPr>
            <sz val="9"/>
            <color indexed="81"/>
            <rFont val="Tahoma"/>
            <family val="2"/>
          </rPr>
          <t xml:space="preserve">
BUT AT DIP</t>
        </r>
      </text>
    </comment>
    <comment ref="D15" authorId="0" shapeId="0" xr:uid="{385A7836-FCB3-45CA-8A8A-A77229AC98D0}">
      <text>
        <r>
          <rPr>
            <b/>
            <sz val="9"/>
            <color indexed="81"/>
            <rFont val="Tahoma"/>
            <family val="2"/>
          </rPr>
          <t>Raja Natarajan:</t>
        </r>
        <r>
          <rPr>
            <sz val="9"/>
            <color indexed="81"/>
            <rFont val="Tahoma"/>
            <family val="2"/>
          </rPr>
          <t xml:space="preserve">
BUY AT DIP NOW</t>
        </r>
      </text>
    </comment>
    <comment ref="L15" authorId="0" shapeId="0" xr:uid="{39DEAD8F-4AF7-442E-B0E9-8E68366D7F05}">
      <text>
        <r>
          <rPr>
            <b/>
            <sz val="9"/>
            <color indexed="81"/>
            <rFont val="Tahoma"/>
            <family val="2"/>
          </rPr>
          <t>Raja Natarajan:</t>
        </r>
        <r>
          <rPr>
            <sz val="9"/>
            <color indexed="81"/>
            <rFont val="Tahoma"/>
            <family val="2"/>
          </rPr>
          <t xml:space="preserve">
BUY AT DIP</t>
        </r>
      </text>
    </comment>
    <comment ref="D16" authorId="0" shapeId="0" xr:uid="{9B7BA954-B60F-4486-A0E2-C589B4722793}">
      <text>
        <r>
          <rPr>
            <b/>
            <sz val="9"/>
            <color indexed="81"/>
            <rFont val="Tahoma"/>
            <family val="2"/>
          </rPr>
          <t>Raja Natarajan:</t>
        </r>
        <r>
          <rPr>
            <sz val="9"/>
            <color indexed="81"/>
            <rFont val="Tahoma"/>
            <family val="2"/>
          </rPr>
          <t xml:space="preserve">
BUY AT DIP NOW</t>
        </r>
      </text>
    </comment>
    <comment ref="L16" authorId="0" shapeId="0" xr:uid="{80156821-3792-4044-84D3-EA84A7ED09A9}">
      <text>
        <r>
          <rPr>
            <b/>
            <sz val="9"/>
            <color indexed="81"/>
            <rFont val="Tahoma"/>
            <family val="2"/>
          </rPr>
          <t>Raja Natarajan:</t>
        </r>
        <r>
          <rPr>
            <sz val="9"/>
            <color indexed="81"/>
            <rFont val="Tahoma"/>
            <family val="2"/>
          </rPr>
          <t xml:space="preserve">
BUY AT DIP NOW</t>
        </r>
      </text>
    </comment>
    <comment ref="D17" authorId="0" shapeId="0" xr:uid="{DA65D16E-A033-4B02-AC3C-935B16D62FEC}">
      <text>
        <r>
          <rPr>
            <b/>
            <sz val="9"/>
            <color indexed="81"/>
            <rFont val="Tahoma"/>
            <family val="2"/>
          </rPr>
          <t>Raja Natarajan:</t>
        </r>
        <r>
          <rPr>
            <sz val="9"/>
            <color indexed="81"/>
            <rFont val="Tahoma"/>
            <family val="2"/>
          </rPr>
          <t xml:space="preserve">
BUY AT DIP NOW</t>
        </r>
      </text>
    </comment>
    <comment ref="L17" authorId="0" shapeId="0" xr:uid="{0DDE20AA-7773-47DF-8E7D-D9473A064895}">
      <text>
        <r>
          <rPr>
            <b/>
            <sz val="9"/>
            <color indexed="81"/>
            <rFont val="Tahoma"/>
            <family val="2"/>
          </rPr>
          <t>Raja Natarajan:</t>
        </r>
        <r>
          <rPr>
            <sz val="9"/>
            <color indexed="81"/>
            <rFont val="Tahoma"/>
            <family val="2"/>
          </rPr>
          <t xml:space="preserve">
BUY AT DIP</t>
        </r>
      </text>
    </comment>
    <comment ref="D18" authorId="0" shapeId="0" xr:uid="{B54D9A8A-C498-447A-96E4-8D29F17A4D2F}">
      <text>
        <r>
          <rPr>
            <b/>
            <sz val="9"/>
            <color indexed="81"/>
            <rFont val="Tahoma"/>
            <family val="2"/>
          </rPr>
          <t>Raja Natarajan:</t>
        </r>
        <r>
          <rPr>
            <sz val="9"/>
            <color indexed="81"/>
            <rFont val="Tahoma"/>
            <family val="2"/>
          </rPr>
          <t xml:space="preserve">
BUY AT DIP  NOW </t>
        </r>
      </text>
    </comment>
    <comment ref="L18" authorId="0" shapeId="0" xr:uid="{C04D4A60-1021-4E26-9CFA-C6D9D4040393}">
      <text>
        <r>
          <rPr>
            <b/>
            <sz val="9"/>
            <color indexed="81"/>
            <rFont val="Tahoma"/>
            <family val="2"/>
          </rPr>
          <t>Raja Natarajan:</t>
        </r>
        <r>
          <rPr>
            <sz val="9"/>
            <color indexed="81"/>
            <rFont val="Tahoma"/>
            <family val="2"/>
          </rPr>
          <t xml:space="preserve">
BUT AT DIP NOW</t>
        </r>
      </text>
    </comment>
    <comment ref="D19" authorId="0" shapeId="0" xr:uid="{BE566CD3-1890-400B-8301-A20753B11454}">
      <text>
        <r>
          <rPr>
            <b/>
            <sz val="9"/>
            <color indexed="81"/>
            <rFont val="Tahoma"/>
            <family val="2"/>
          </rPr>
          <t>Raja Natarajan:</t>
        </r>
        <r>
          <rPr>
            <sz val="9"/>
            <color indexed="81"/>
            <rFont val="Tahoma"/>
            <family val="2"/>
          </rPr>
          <t xml:space="preserve">
BUY AT DIP NOW</t>
        </r>
      </text>
    </comment>
    <comment ref="L19" authorId="0" shapeId="0" xr:uid="{77D28258-75D4-49FC-AED0-EDA254A4E578}">
      <text>
        <r>
          <rPr>
            <b/>
            <sz val="9"/>
            <color indexed="81"/>
            <rFont val="Tahoma"/>
            <family val="2"/>
          </rPr>
          <t>Raja Natarajan:</t>
        </r>
        <r>
          <rPr>
            <sz val="9"/>
            <color indexed="81"/>
            <rFont val="Tahoma"/>
            <family val="2"/>
          </rPr>
          <t xml:space="preserve">
BUT AT DIP NOW</t>
        </r>
      </text>
    </comment>
    <comment ref="D20" authorId="0" shapeId="0" xr:uid="{F3DA7A4F-2F85-49AA-ADBF-F6E876AF8E2C}">
      <text>
        <r>
          <rPr>
            <b/>
            <sz val="9"/>
            <color indexed="81"/>
            <rFont val="Tahoma"/>
            <family val="2"/>
          </rPr>
          <t>Raja Natarajan:</t>
        </r>
        <r>
          <rPr>
            <sz val="9"/>
            <color indexed="81"/>
            <rFont val="Tahoma"/>
            <family val="2"/>
          </rPr>
          <t xml:space="preserve">
BUY AT DIP NOW</t>
        </r>
      </text>
    </comment>
    <comment ref="L20" authorId="0" shapeId="0" xr:uid="{54429114-846A-4314-9A77-A44D5116544A}">
      <text>
        <r>
          <rPr>
            <b/>
            <sz val="9"/>
            <color indexed="81"/>
            <rFont val="Tahoma"/>
            <family val="2"/>
          </rPr>
          <t>Raja Natarajan:</t>
        </r>
        <r>
          <rPr>
            <sz val="9"/>
            <color indexed="81"/>
            <rFont val="Tahoma"/>
            <family val="2"/>
          </rPr>
          <t xml:space="preserve">
BUT AT DIP</t>
        </r>
      </text>
    </comment>
    <comment ref="D21" authorId="0" shapeId="0" xr:uid="{57528018-42D0-4AFC-98E1-D013C84CB3C6}">
      <text>
        <r>
          <rPr>
            <b/>
            <sz val="9"/>
            <color indexed="81"/>
            <rFont val="Tahoma"/>
            <family val="2"/>
          </rPr>
          <t>Raja Natarajan:</t>
        </r>
        <r>
          <rPr>
            <sz val="9"/>
            <color indexed="81"/>
            <rFont val="Tahoma"/>
            <family val="2"/>
          </rPr>
          <t xml:space="preserve">
BUY AT DIP NOW</t>
        </r>
      </text>
    </comment>
    <comment ref="D22" authorId="0" shapeId="0" xr:uid="{CCA10773-360C-49A5-81BB-D0FCA2CFDC40}">
      <text>
        <r>
          <rPr>
            <b/>
            <sz val="9"/>
            <color indexed="81"/>
            <rFont val="Tahoma"/>
            <family val="2"/>
          </rPr>
          <t>Raja Natarajan:</t>
        </r>
        <r>
          <rPr>
            <sz val="9"/>
            <color indexed="81"/>
            <rFont val="Tahoma"/>
            <family val="2"/>
          </rPr>
          <t xml:space="preserve">
BUY AT DIP</t>
        </r>
      </text>
    </comment>
    <comment ref="L22" authorId="0" shapeId="0" xr:uid="{2BFB1F44-9964-4F44-AE25-BE82ECD291C9}">
      <text>
        <r>
          <rPr>
            <b/>
            <sz val="9"/>
            <color indexed="81"/>
            <rFont val="Tahoma"/>
            <family val="2"/>
          </rPr>
          <t>Raja Natarajan:</t>
        </r>
        <r>
          <rPr>
            <sz val="9"/>
            <color indexed="81"/>
            <rFont val="Tahoma"/>
            <family val="2"/>
          </rPr>
          <t xml:space="preserve">
BUY AT DIP NOW</t>
        </r>
      </text>
    </comment>
    <comment ref="D23" authorId="0" shapeId="0" xr:uid="{3BABC81D-5852-4989-9E8A-3F06DFB49D44}">
      <text>
        <r>
          <rPr>
            <b/>
            <sz val="9"/>
            <color indexed="81"/>
            <rFont val="Tahoma"/>
            <family val="2"/>
          </rPr>
          <t>Raja Natarajan:</t>
        </r>
        <r>
          <rPr>
            <sz val="9"/>
            <color indexed="81"/>
            <rFont val="Tahoma"/>
            <family val="2"/>
          </rPr>
          <t xml:space="preserve">
BUY AT DIP</t>
        </r>
      </text>
    </comment>
    <comment ref="L23" authorId="0" shapeId="0" xr:uid="{7324F3FA-9624-4685-9560-1030F9681D63}">
      <text>
        <r>
          <rPr>
            <b/>
            <sz val="9"/>
            <color indexed="81"/>
            <rFont val="Tahoma"/>
            <family val="2"/>
          </rPr>
          <t>Raja Natarajan:</t>
        </r>
        <r>
          <rPr>
            <sz val="9"/>
            <color indexed="81"/>
            <rFont val="Tahoma"/>
            <family val="2"/>
          </rPr>
          <t xml:space="preserve">
BUY AT DIP NOW</t>
        </r>
      </text>
    </comment>
    <comment ref="D24" authorId="0" shapeId="0" xr:uid="{32090EAC-65B1-4B32-AE83-846A7FAA0100}">
      <text>
        <r>
          <rPr>
            <b/>
            <sz val="9"/>
            <color indexed="81"/>
            <rFont val="Tahoma"/>
            <family val="2"/>
          </rPr>
          <t>Raja Natarajan:</t>
        </r>
        <r>
          <rPr>
            <sz val="9"/>
            <color indexed="81"/>
            <rFont val="Tahoma"/>
            <family val="2"/>
          </rPr>
          <t xml:space="preserve">
BUY AT DIP</t>
        </r>
      </text>
    </comment>
    <comment ref="L24" authorId="0" shapeId="0" xr:uid="{64571F6B-2219-4570-B622-6641343248E6}">
      <text>
        <r>
          <rPr>
            <b/>
            <sz val="9"/>
            <color indexed="81"/>
            <rFont val="Tahoma"/>
            <family val="2"/>
          </rPr>
          <t>Raja Natarajan:</t>
        </r>
        <r>
          <rPr>
            <sz val="9"/>
            <color indexed="81"/>
            <rFont val="Tahoma"/>
            <family val="2"/>
          </rPr>
          <t xml:space="preserve">
BUY AT DIP</t>
        </r>
      </text>
    </comment>
    <comment ref="D25" authorId="0" shapeId="0" xr:uid="{29062A1C-2BA3-45EB-B479-3F4F52D1A227}">
      <text>
        <r>
          <rPr>
            <b/>
            <sz val="9"/>
            <color indexed="81"/>
            <rFont val="Tahoma"/>
            <family val="2"/>
          </rPr>
          <t>Raja Natarajan:</t>
        </r>
        <r>
          <rPr>
            <sz val="9"/>
            <color indexed="81"/>
            <rFont val="Tahoma"/>
            <family val="2"/>
          </rPr>
          <t xml:space="preserve">
BUY NOW AT DIP</t>
        </r>
      </text>
    </comment>
    <comment ref="L25" authorId="0" shapeId="0" xr:uid="{CF35AB06-3047-4987-B612-DFF0C5E4E123}">
      <text>
        <r>
          <rPr>
            <b/>
            <sz val="9"/>
            <color indexed="81"/>
            <rFont val="Tahoma"/>
            <family val="2"/>
          </rPr>
          <t>Raja Natarajan:</t>
        </r>
        <r>
          <rPr>
            <sz val="9"/>
            <color indexed="81"/>
            <rFont val="Tahoma"/>
            <family val="2"/>
          </rPr>
          <t xml:space="preserve">
BUY AT DIP</t>
        </r>
      </text>
    </comment>
    <comment ref="D26" authorId="0" shapeId="0" xr:uid="{6080A9E3-678A-4FAB-A5F5-07793E8C70DF}">
      <text>
        <r>
          <rPr>
            <b/>
            <sz val="9"/>
            <color indexed="81"/>
            <rFont val="Tahoma"/>
            <family val="2"/>
          </rPr>
          <t>Raja Natarajan:</t>
        </r>
        <r>
          <rPr>
            <sz val="9"/>
            <color indexed="81"/>
            <rFont val="Tahoma"/>
            <family val="2"/>
          </rPr>
          <t xml:space="preserve">
BUY AT DIP</t>
        </r>
      </text>
    </comment>
    <comment ref="L26" authorId="0" shapeId="0" xr:uid="{550005EF-8C5A-4AE7-870A-99D023C25A71}">
      <text>
        <r>
          <rPr>
            <b/>
            <sz val="9"/>
            <color indexed="81"/>
            <rFont val="Tahoma"/>
            <family val="2"/>
          </rPr>
          <t>Raja Natarajan:</t>
        </r>
        <r>
          <rPr>
            <sz val="9"/>
            <color indexed="81"/>
            <rFont val="Tahoma"/>
            <family val="2"/>
          </rPr>
          <t xml:space="preserve">
BUT AT DIP</t>
        </r>
      </text>
    </comment>
    <comment ref="D27" authorId="0" shapeId="0" xr:uid="{D9FE0C7C-8D45-447A-91DF-DD3B4FA5E10D}">
      <text>
        <r>
          <rPr>
            <b/>
            <sz val="9"/>
            <color indexed="81"/>
            <rFont val="Tahoma"/>
            <family val="2"/>
          </rPr>
          <t>Raja Natarajan:</t>
        </r>
        <r>
          <rPr>
            <sz val="9"/>
            <color indexed="81"/>
            <rFont val="Tahoma"/>
            <family val="2"/>
          </rPr>
          <t xml:space="preserve">
BUT AT DIP</t>
        </r>
      </text>
    </comment>
    <comment ref="L27" authorId="0" shapeId="0" xr:uid="{52487CAD-A4C0-42BD-9C9C-E89F77E15DC7}">
      <text>
        <r>
          <rPr>
            <b/>
            <sz val="9"/>
            <color indexed="81"/>
            <rFont val="Tahoma"/>
            <family val="2"/>
          </rPr>
          <t>Raja Natarajan:</t>
        </r>
        <r>
          <rPr>
            <sz val="9"/>
            <color indexed="81"/>
            <rFont val="Tahoma"/>
            <family val="2"/>
          </rPr>
          <t xml:space="preserve">
BUY AT DIP</t>
        </r>
      </text>
    </comment>
    <comment ref="L28" authorId="0" shapeId="0" xr:uid="{C59650D1-CCC8-44A2-8EAD-7A475AA721A2}">
      <text>
        <r>
          <rPr>
            <b/>
            <sz val="9"/>
            <color indexed="81"/>
            <rFont val="Tahoma"/>
            <family val="2"/>
          </rPr>
          <t>Raja Natarajan:</t>
        </r>
        <r>
          <rPr>
            <sz val="9"/>
            <color indexed="81"/>
            <rFont val="Tahoma"/>
            <family val="2"/>
          </rPr>
          <t xml:space="preserve">
BUY AT DIP</t>
        </r>
      </text>
    </comment>
    <comment ref="L29" authorId="0" shapeId="0" xr:uid="{5297ADBC-8D96-4F48-8856-8EFF5FA4731F}">
      <text>
        <r>
          <rPr>
            <b/>
            <sz val="9"/>
            <color indexed="81"/>
            <rFont val="Tahoma"/>
            <family val="2"/>
          </rPr>
          <t>Raja Natarajan:</t>
        </r>
        <r>
          <rPr>
            <sz val="9"/>
            <color indexed="81"/>
            <rFont val="Tahoma"/>
            <family val="2"/>
          </rPr>
          <t xml:space="preserve">
BUY AT DIP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Raja Natarajan</author>
    <author>tc={0AFB8F0C-8279-47C1-AA58-2E2EC0787813}</author>
  </authors>
  <commentList>
    <comment ref="D2" authorId="0" shapeId="0" xr:uid="{1E4B9C49-406C-45A4-9D92-C34B8B8FC46D}">
      <text>
        <r>
          <rPr>
            <b/>
            <sz val="9"/>
            <color indexed="81"/>
            <rFont val="Tahoma"/>
            <family val="2"/>
          </rPr>
          <t>Raja Natarajan:</t>
        </r>
        <r>
          <rPr>
            <sz val="9"/>
            <color indexed="81"/>
            <rFont val="Tahoma"/>
            <family val="2"/>
          </rPr>
          <t xml:space="preserve">
ENTRY 6
TP 7-15
SL 5
1 TO 2 YEARS</t>
        </r>
      </text>
    </comment>
    <comment ref="E2" authorId="0" shapeId="0" xr:uid="{A01D42FC-5925-4E60-948B-F62D8DB9C621}">
      <text>
        <r>
          <rPr>
            <b/>
            <sz val="9"/>
            <color indexed="81"/>
            <rFont val="Tahoma"/>
            <family val="2"/>
          </rPr>
          <t>Raja Natarajan:</t>
        </r>
        <r>
          <rPr>
            <sz val="9"/>
            <color indexed="81"/>
            <rFont val="Tahoma"/>
            <family val="2"/>
          </rPr>
          <t xml:space="preserve">
300</t>
        </r>
      </text>
    </comment>
    <comment ref="E3" authorId="0" shapeId="0" xr:uid="{B0E7511B-C344-4CBB-AA8D-00A00078A98B}">
      <text>
        <r>
          <rPr>
            <b/>
            <sz val="9"/>
            <color indexed="81"/>
            <rFont val="Tahoma"/>
            <family val="2"/>
          </rPr>
          <t>Raja Natarajan:</t>
        </r>
        <r>
          <rPr>
            <sz val="9"/>
            <color indexed="81"/>
            <rFont val="Tahoma"/>
            <family val="2"/>
          </rPr>
          <t xml:space="preserve">
10</t>
        </r>
      </text>
    </comment>
    <comment ref="D5" authorId="0" shapeId="0" xr:uid="{3CA3B54B-E74A-4500-AA89-C5CD717C9A21}">
      <text>
        <r>
          <rPr>
            <b/>
            <sz val="9"/>
            <color indexed="81"/>
            <rFont val="Tahoma"/>
            <family val="2"/>
          </rPr>
          <t>Raja Natarajan:</t>
        </r>
        <r>
          <rPr>
            <sz val="9"/>
            <color indexed="81"/>
            <rFont val="Tahoma"/>
            <family val="2"/>
          </rPr>
          <t xml:space="preserve">
ENTRY 44
TP 64-280
SL - 35
1 TO 3 YEARS</t>
        </r>
      </text>
    </comment>
    <comment ref="E5" authorId="0" shapeId="0" xr:uid="{232A306E-6770-4C3B-AA69-63D6E8C6334A}">
      <text>
        <r>
          <rPr>
            <b/>
            <sz val="9"/>
            <color indexed="81"/>
            <rFont val="Tahoma"/>
            <family val="2"/>
          </rPr>
          <t>Raja Natarajan:</t>
        </r>
        <r>
          <rPr>
            <sz val="9"/>
            <color indexed="81"/>
            <rFont val="Tahoma"/>
            <family val="2"/>
          </rPr>
          <t xml:space="preserve">
100</t>
        </r>
      </text>
    </comment>
    <comment ref="D10" authorId="0" shapeId="0" xr:uid="{12228AC8-ECFD-4D03-A32A-DBBD485479EF}">
      <text>
        <r>
          <rPr>
            <b/>
            <sz val="9"/>
            <color indexed="81"/>
            <rFont val="Tahoma"/>
            <family val="2"/>
          </rPr>
          <t>Raja Natarajan:</t>
        </r>
        <r>
          <rPr>
            <sz val="9"/>
            <color indexed="81"/>
            <rFont val="Tahoma"/>
            <family val="2"/>
          </rPr>
          <t xml:space="preserve">
ENTRY 65 ABOVE HOLD
TP 70-100
SL 60 TRAIL
</t>
        </r>
      </text>
    </comment>
    <comment ref="E11" authorId="0" shapeId="0" xr:uid="{A17F4D2B-ABDB-4A3A-8D5A-C4E19C0EF350}">
      <text>
        <r>
          <rPr>
            <b/>
            <sz val="9"/>
            <color indexed="81"/>
            <rFont val="Tahoma"/>
            <family val="2"/>
          </rPr>
          <t>Raja Natarajan:</t>
        </r>
        <r>
          <rPr>
            <sz val="9"/>
            <color indexed="81"/>
            <rFont val="Tahoma"/>
            <family val="2"/>
          </rPr>
          <t xml:space="preserve">
TARGET 100</t>
        </r>
      </text>
    </comment>
    <comment ref="E12" authorId="0" shapeId="0" xr:uid="{7BC5A31A-A43D-4F26-AAC1-F35DC9ABBF6E}">
      <text>
        <r>
          <rPr>
            <b/>
            <sz val="9"/>
            <color indexed="81"/>
            <rFont val="Tahoma"/>
            <family val="2"/>
          </rPr>
          <t>Raja Natarajan:</t>
        </r>
        <r>
          <rPr>
            <sz val="9"/>
            <color indexed="81"/>
            <rFont val="Tahoma"/>
            <family val="2"/>
          </rPr>
          <t xml:space="preserve">
10</t>
        </r>
      </text>
    </comment>
    <comment ref="D14" authorId="0" shapeId="0" xr:uid="{50716DE0-D755-45C6-BB13-FAF718208676}">
      <text>
        <r>
          <rPr>
            <b/>
            <sz val="9"/>
            <color indexed="81"/>
            <rFont val="Tahoma"/>
            <family val="2"/>
          </rPr>
          <t>Raja Natarajan:</t>
        </r>
        <r>
          <rPr>
            <sz val="9"/>
            <color indexed="81"/>
            <rFont val="Tahoma"/>
            <family val="2"/>
          </rPr>
          <t xml:space="preserve">
TARGET 250</t>
        </r>
      </text>
    </comment>
    <comment ref="D15" authorId="0" shapeId="0" xr:uid="{3010508D-7E2E-414D-8934-1E71591FC327}">
      <text>
        <r>
          <rPr>
            <b/>
            <sz val="9"/>
            <color indexed="81"/>
            <rFont val="Tahoma"/>
            <family val="2"/>
          </rPr>
          <t>Raja Natarajan:</t>
        </r>
        <r>
          <rPr>
            <sz val="9"/>
            <color indexed="81"/>
            <rFont val="Tahoma"/>
            <family val="2"/>
          </rPr>
          <t xml:space="preserve">
TARGET 213</t>
        </r>
      </text>
    </comment>
    <comment ref="D17" authorId="0" shapeId="0" xr:uid="{BCE6EFA1-CDEC-4CB7-A6F4-F078CC6BE9B3}">
      <text>
        <r>
          <rPr>
            <b/>
            <sz val="9"/>
            <color indexed="81"/>
            <rFont val="Tahoma"/>
            <family val="2"/>
          </rPr>
          <t>Raja Natarajan:</t>
        </r>
        <r>
          <rPr>
            <sz val="9"/>
            <color indexed="81"/>
            <rFont val="Tahoma"/>
            <family val="2"/>
          </rPr>
          <t xml:space="preserve">
TARGET 238</t>
        </r>
      </text>
    </comment>
    <comment ref="D18" authorId="0" shapeId="0" xr:uid="{8DC185AA-9EF1-408C-8491-06211BB53A07}">
      <text>
        <r>
          <rPr>
            <b/>
            <sz val="9"/>
            <color indexed="81"/>
            <rFont val="Tahoma"/>
            <family val="2"/>
          </rPr>
          <t>Raja Natarajan:</t>
        </r>
        <r>
          <rPr>
            <sz val="9"/>
            <color indexed="81"/>
            <rFont val="Tahoma"/>
            <family val="2"/>
          </rPr>
          <t xml:space="preserve">
SL 170
BUY ABOVE 180 HOLD
TP 193-240</t>
        </r>
      </text>
    </comment>
    <comment ref="D19" authorId="0" shapeId="0" xr:uid="{55623DBA-23FD-4EC4-87E3-9F026A64FF5B}">
      <text>
        <r>
          <rPr>
            <b/>
            <sz val="9"/>
            <color indexed="81"/>
            <rFont val="Tahoma"/>
            <family val="2"/>
          </rPr>
          <t>Raja Natarajan:</t>
        </r>
        <r>
          <rPr>
            <sz val="9"/>
            <color indexed="81"/>
            <rFont val="Tahoma"/>
            <family val="2"/>
          </rPr>
          <t xml:space="preserve">
TARGET 270</t>
        </r>
      </text>
    </comment>
    <comment ref="D22" authorId="1" shapeId="0" xr:uid="{0AFB8F0C-8279-47C1-AA58-2E2EC0787813}">
      <text>
        <t>[Threaded comment]
Your version of Excel allows you to read this threaded comment; however, any edits to it will get removed if the file is opened in a newer version of Excel. Learn more: https://go.microsoft.com/fwlink/?linkid=870924
Comment:
    GST Tax ~50% sin category, bjp govt changes possible to grow</t>
      </text>
    </comment>
    <comment ref="A29" authorId="0" shapeId="0" xr:uid="{26EB9C82-F204-4519-897B-7803C119E7CF}">
      <text>
        <r>
          <rPr>
            <b/>
            <sz val="9"/>
            <color indexed="81"/>
            <rFont val="Tahoma"/>
            <family val="2"/>
          </rPr>
          <t>Raja Natarajan:</t>
        </r>
        <r>
          <rPr>
            <sz val="9"/>
            <color indexed="81"/>
            <rFont val="Tahoma"/>
            <family val="2"/>
          </rPr>
          <t xml:space="preserve">
TP DONE</t>
        </r>
      </text>
    </comment>
    <comment ref="D29" authorId="0" shapeId="0" xr:uid="{838A78C8-0EA4-41E1-A0FA-0BF905CBB13B}">
      <text>
        <r>
          <rPr>
            <b/>
            <sz val="9"/>
            <color indexed="81"/>
            <rFont val="Tahoma"/>
            <family val="2"/>
          </rPr>
          <t>Raja Natarajan:</t>
        </r>
        <r>
          <rPr>
            <sz val="9"/>
            <color indexed="81"/>
            <rFont val="Tahoma"/>
            <family val="2"/>
          </rPr>
          <t xml:space="preserve">
ENTRY 511
TP 538-570
SL 500
3 MONTHS</t>
        </r>
      </text>
    </comment>
    <comment ref="D33" authorId="0" shapeId="0" xr:uid="{58D8F31B-B374-4AE3-A700-C892B163E072}">
      <text>
        <r>
          <rPr>
            <b/>
            <sz val="9"/>
            <color indexed="81"/>
            <rFont val="Tahoma"/>
            <family val="2"/>
          </rPr>
          <t>Raja Natarajan:</t>
        </r>
        <r>
          <rPr>
            <sz val="9"/>
            <color indexed="81"/>
            <rFont val="Tahoma"/>
            <family val="2"/>
          </rPr>
          <t xml:space="preserve">
TARGET 1222</t>
        </r>
      </text>
    </comment>
    <comment ref="D35" authorId="0" shapeId="0" xr:uid="{A21D31C1-0EDA-4722-9A86-FE86F26C2ED1}">
      <text>
        <r>
          <rPr>
            <b/>
            <sz val="9"/>
            <color indexed="81"/>
            <rFont val="Tahoma"/>
            <family val="2"/>
          </rPr>
          <t>Raja Natarajan:</t>
        </r>
        <r>
          <rPr>
            <sz val="9"/>
            <color indexed="81"/>
            <rFont val="Tahoma"/>
            <family val="2"/>
          </rPr>
          <t xml:space="preserve">
BUY AT DIPS
GOOD FUNDA AND TECHINICAL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B2" authorId="0" shapeId="0" xr:uid="{12BA17F7-AC26-407C-BD09-BFF9736E67FA}">
      <text>
        <r>
          <rPr>
            <b/>
            <sz val="9"/>
            <color indexed="81"/>
            <rFont val="Tahoma"/>
            <family val="2"/>
          </rPr>
          <t>Raja Natarajan:</t>
        </r>
        <r>
          <rPr>
            <sz val="9"/>
            <color indexed="81"/>
            <rFont val="Tahoma"/>
            <family val="2"/>
          </rPr>
          <t xml:space="preserve">
2</t>
        </r>
      </text>
    </comment>
    <comment ref="B4" authorId="0" shapeId="0" xr:uid="{9A09B644-4777-4027-A65D-556470D8870F}">
      <text>
        <r>
          <rPr>
            <b/>
            <sz val="9"/>
            <color indexed="81"/>
            <rFont val="Tahoma"/>
            <family val="2"/>
          </rPr>
          <t>Raja Natarajan:</t>
        </r>
        <r>
          <rPr>
            <sz val="9"/>
            <color indexed="81"/>
            <rFont val="Tahoma"/>
            <family val="2"/>
          </rPr>
          <t xml:space="preserve">
1</t>
        </r>
      </text>
    </comment>
    <comment ref="B5" authorId="0" shapeId="0" xr:uid="{034A5E9B-9238-4D6A-B412-17424A38549D}">
      <text>
        <r>
          <rPr>
            <b/>
            <sz val="9"/>
            <color indexed="81"/>
            <rFont val="Tahoma"/>
            <family val="2"/>
          </rPr>
          <t>Raja Natarajan:</t>
        </r>
        <r>
          <rPr>
            <sz val="9"/>
            <color indexed="81"/>
            <rFont val="Tahoma"/>
            <family val="2"/>
          </rPr>
          <t xml:space="preserve">
3</t>
        </r>
      </text>
    </comment>
    <comment ref="B9" authorId="0" shapeId="0" xr:uid="{02AD254A-1FC3-424F-AA5B-54627AE4F28F}">
      <text>
        <r>
          <rPr>
            <b/>
            <sz val="9"/>
            <color indexed="81"/>
            <rFont val="Tahoma"/>
            <family val="2"/>
          </rPr>
          <t>Raja Natarajan:</t>
        </r>
        <r>
          <rPr>
            <sz val="9"/>
            <color indexed="81"/>
            <rFont val="Tahoma"/>
            <family val="2"/>
          </rPr>
          <t xml:space="preserve">
4</t>
        </r>
      </text>
    </comment>
    <comment ref="B10" authorId="0" shapeId="0" xr:uid="{69801D2C-2CEA-4293-A566-E6A5709D60E6}">
      <text>
        <r>
          <rPr>
            <b/>
            <sz val="9"/>
            <color indexed="81"/>
            <rFont val="Tahoma"/>
            <family val="2"/>
          </rPr>
          <t>Raja Natarajan:</t>
        </r>
        <r>
          <rPr>
            <sz val="9"/>
            <color indexed="81"/>
            <rFont val="Tahoma"/>
            <family val="2"/>
          </rPr>
          <t xml:space="preserve">
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C5" authorId="0" shapeId="0" xr:uid="{C1D76E29-62CC-47DA-8E3D-5163E4954DE2}">
      <text>
        <r>
          <rPr>
            <b/>
            <sz val="9"/>
            <color indexed="81"/>
            <rFont val="Tahoma"/>
            <family val="2"/>
          </rPr>
          <t>Raja Natarajan:</t>
        </r>
        <r>
          <rPr>
            <sz val="9"/>
            <color indexed="81"/>
            <rFont val="Tahoma"/>
            <family val="2"/>
          </rPr>
          <t xml:space="preserve">
TARGET 130</t>
        </r>
      </text>
    </comment>
    <comment ref="C6" authorId="0" shapeId="0" xr:uid="{3C5AF155-5844-4C5E-82FF-ECFF38C425A6}">
      <text>
        <r>
          <rPr>
            <b/>
            <sz val="9"/>
            <color indexed="81"/>
            <rFont val="Tahoma"/>
            <family val="2"/>
          </rPr>
          <t>Raja Natarajan:</t>
        </r>
        <r>
          <rPr>
            <sz val="9"/>
            <color indexed="81"/>
            <rFont val="Tahoma"/>
            <family val="2"/>
          </rPr>
          <t xml:space="preserve">
TARGET 675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Raja Natarajan</author>
    <author>tc={8D4A3618-B1C4-4FB1-91B2-C8C98B4C348A}</author>
  </authors>
  <commentList>
    <comment ref="B2" authorId="0" shapeId="0" xr:uid="{1510E796-6766-4204-A00D-D2616645303C}">
      <text>
        <r>
          <rPr>
            <b/>
            <sz val="9"/>
            <color indexed="81"/>
            <rFont val="Tahoma"/>
            <family val="2"/>
          </rPr>
          <t>Raja Natarajan:</t>
        </r>
        <r>
          <rPr>
            <sz val="9"/>
            <color indexed="81"/>
            <rFont val="Tahoma"/>
            <family val="2"/>
          </rPr>
          <t xml:space="preserve">
2</t>
        </r>
      </text>
    </comment>
    <comment ref="B6" authorId="1" shapeId="0" xr:uid="{8D4A3618-B1C4-4FB1-91B2-C8C98B4C348A}">
      <text>
        <t>[Threaded comment]
Your version of Excel allows you to read this threaded comment; however, any edits to it will get removed if the file is opened in a newer version of Excel. Learn more: https://go.microsoft.com/fwlink/?linkid=870924
Comment:
    1-shortterm</t>
      </text>
    </comment>
    <comment ref="B9" authorId="0" shapeId="0" xr:uid="{98F245AA-E099-499F-A207-5193CF7288B0}">
      <text>
        <r>
          <rPr>
            <b/>
            <sz val="9"/>
            <color indexed="81"/>
            <rFont val="Tahoma"/>
            <family val="2"/>
          </rPr>
          <t>Raja Natarajan:</t>
        </r>
        <r>
          <rPr>
            <sz val="9"/>
            <color indexed="81"/>
            <rFont val="Tahoma"/>
            <family val="2"/>
          </rPr>
          <t xml:space="preserve">
1</t>
        </r>
      </text>
    </comment>
    <comment ref="B14" authorId="0" shapeId="0" xr:uid="{787FE061-C740-40A4-9A28-8F68F0B5C582}">
      <text>
        <r>
          <rPr>
            <b/>
            <sz val="9"/>
            <color indexed="81"/>
            <rFont val="Tahoma"/>
            <family val="2"/>
          </rPr>
          <t>Raja Natarajan:</t>
        </r>
        <r>
          <rPr>
            <sz val="9"/>
            <color indexed="81"/>
            <rFont val="Tahoma"/>
            <family val="2"/>
          </rPr>
          <t xml:space="preserve">
3</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B4" authorId="0" shapeId="0" xr:uid="{69FFAB63-05CE-4FBA-BA0A-6D3EB8B37100}">
      <text>
        <r>
          <rPr>
            <b/>
            <sz val="9"/>
            <color indexed="81"/>
            <rFont val="Tahoma"/>
            <family val="2"/>
          </rPr>
          <t>Raja Natarajan:</t>
        </r>
        <r>
          <rPr>
            <sz val="9"/>
            <color indexed="81"/>
            <rFont val="Tahoma"/>
            <family val="2"/>
          </rPr>
          <t xml:space="preserve">
3</t>
        </r>
      </text>
    </comment>
    <comment ref="B5" authorId="0" shapeId="0" xr:uid="{66C26C87-D138-47F5-99E3-C6147F7EA397}">
      <text>
        <r>
          <rPr>
            <b/>
            <sz val="9"/>
            <color indexed="81"/>
            <rFont val="Tahoma"/>
            <family val="2"/>
          </rPr>
          <t>Raja Natarajan:</t>
        </r>
        <r>
          <rPr>
            <sz val="9"/>
            <color indexed="81"/>
            <rFont val="Tahoma"/>
            <family val="2"/>
          </rPr>
          <t xml:space="preserve">
5</t>
        </r>
      </text>
    </comment>
    <comment ref="B6" authorId="0" shapeId="0" xr:uid="{0EA7A1BD-04AB-4BE1-B088-3D888AA119D3}">
      <text>
        <r>
          <rPr>
            <b/>
            <sz val="9"/>
            <color indexed="81"/>
            <rFont val="Tahoma"/>
            <family val="2"/>
          </rPr>
          <t>Raja Natarajan:
2</t>
        </r>
      </text>
    </comment>
    <comment ref="B9" authorId="0" shapeId="0" xr:uid="{152A8B00-8D92-42B9-94C5-8493B28623DC}">
      <text>
        <r>
          <rPr>
            <b/>
            <sz val="9"/>
            <color indexed="81"/>
            <rFont val="Tahoma"/>
            <family val="2"/>
          </rPr>
          <t>Raja Natarajan:</t>
        </r>
        <r>
          <rPr>
            <sz val="9"/>
            <color indexed="81"/>
            <rFont val="Tahoma"/>
            <family val="2"/>
          </rPr>
          <t xml:space="preserve">
4</t>
        </r>
      </text>
    </comment>
    <comment ref="B10" authorId="0" shapeId="0" xr:uid="{EB63B6D4-A98E-4447-ABBB-057517393DCC}">
      <text>
        <r>
          <rPr>
            <b/>
            <sz val="9"/>
            <color indexed="81"/>
            <rFont val="Tahoma"/>
            <family val="2"/>
          </rPr>
          <t>Raja Natarajan:</t>
        </r>
        <r>
          <rPr>
            <sz val="9"/>
            <color indexed="81"/>
            <rFont val="Tahoma"/>
            <family val="2"/>
          </rPr>
          <t xml:space="preserve">
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C2" authorId="0" shapeId="0" xr:uid="{04967F42-393E-43D7-8197-862E48D74ED7}">
      <text>
        <r>
          <rPr>
            <b/>
            <sz val="9"/>
            <color indexed="81"/>
            <rFont val="Tahoma"/>
            <family val="2"/>
          </rPr>
          <t>Raja Natarajan:</t>
        </r>
        <r>
          <rPr>
            <sz val="9"/>
            <color indexed="81"/>
            <rFont val="Tahoma"/>
            <family val="2"/>
          </rPr>
          <t xml:space="preserve">
4</t>
        </r>
      </text>
    </comment>
    <comment ref="C4" authorId="0" shapeId="0" xr:uid="{A5C7B23C-A731-452F-AFEF-B6ADF07B84E0}">
      <text>
        <r>
          <rPr>
            <b/>
            <sz val="9"/>
            <color indexed="81"/>
            <rFont val="Tahoma"/>
            <family val="2"/>
          </rPr>
          <t>Raja Natarajan:</t>
        </r>
        <r>
          <rPr>
            <sz val="9"/>
            <color indexed="81"/>
            <rFont val="Tahoma"/>
            <family val="2"/>
          </rPr>
          <t xml:space="preserve">
1</t>
        </r>
      </text>
    </comment>
    <comment ref="C5" authorId="0" shapeId="0" xr:uid="{714A6BFB-44C3-44C4-A4DF-F2CE99D5D155}">
      <text>
        <r>
          <rPr>
            <b/>
            <sz val="9"/>
            <color indexed="81"/>
            <rFont val="Tahoma"/>
            <family val="2"/>
          </rPr>
          <t>Raja Natarajan:</t>
        </r>
        <r>
          <rPr>
            <sz val="9"/>
            <color indexed="81"/>
            <rFont val="Tahoma"/>
            <family val="2"/>
          </rPr>
          <t xml:space="preserve">
2</t>
        </r>
      </text>
    </comment>
    <comment ref="C7" authorId="0" shapeId="0" xr:uid="{D9093E5E-D9CE-438D-A62F-401014C4E4AE}">
      <text>
        <r>
          <rPr>
            <b/>
            <sz val="9"/>
            <color indexed="81"/>
            <rFont val="Tahoma"/>
            <family val="2"/>
          </rPr>
          <t>Raja Natarajan:</t>
        </r>
        <r>
          <rPr>
            <sz val="9"/>
            <color indexed="81"/>
            <rFont val="Tahoma"/>
            <family val="2"/>
          </rPr>
          <t xml:space="preserve">
5</t>
        </r>
      </text>
    </comment>
    <comment ref="C8" authorId="0" shapeId="0" xr:uid="{F447B90F-14F7-462D-8B4C-7D36536D8336}">
      <text>
        <r>
          <rPr>
            <b/>
            <sz val="9"/>
            <color indexed="81"/>
            <rFont val="Tahoma"/>
            <family val="2"/>
          </rPr>
          <t>Raja Natarajan:</t>
        </r>
        <r>
          <rPr>
            <sz val="9"/>
            <color indexed="81"/>
            <rFont val="Tahoma"/>
            <family val="2"/>
          </rPr>
          <t xml:space="preserve">
3</t>
        </r>
      </text>
    </comment>
    <comment ref="C12" authorId="0" shapeId="0" xr:uid="{3AC8D04F-83FE-43F9-8FFD-F97E759C27AD}">
      <text>
        <r>
          <rPr>
            <b/>
            <sz val="9"/>
            <color indexed="81"/>
            <rFont val="Tahoma"/>
            <family val="2"/>
          </rPr>
          <t>Raja Natarajan:</t>
        </r>
        <r>
          <rPr>
            <sz val="9"/>
            <color indexed="81"/>
            <rFont val="Tahoma"/>
            <family val="2"/>
          </rPr>
          <t xml:space="preserve">
6</t>
        </r>
      </text>
    </comment>
    <comment ref="C13" authorId="0" shapeId="0" xr:uid="{32FFD2C8-8AB8-40E4-9C2F-FE69350DE9A1}">
      <text>
        <r>
          <rPr>
            <b/>
            <sz val="9"/>
            <color indexed="81"/>
            <rFont val="Tahoma"/>
            <family val="2"/>
          </rPr>
          <t>Raja Natarajan:</t>
        </r>
        <r>
          <rPr>
            <sz val="9"/>
            <color indexed="81"/>
            <rFont val="Tahoma"/>
            <family val="2"/>
          </rPr>
          <t xml:space="preserve">
7</t>
        </r>
      </text>
    </comment>
    <comment ref="C15" authorId="0" shapeId="0" xr:uid="{4F46DB02-54BE-49F6-AFEC-39C24147ACD9}">
      <text>
        <r>
          <rPr>
            <b/>
            <sz val="9"/>
            <color indexed="81"/>
            <rFont val="Tahoma"/>
            <family val="2"/>
          </rPr>
          <t>Raja Natarajan:</t>
        </r>
        <r>
          <rPr>
            <sz val="9"/>
            <color indexed="81"/>
            <rFont val="Tahoma"/>
            <family val="2"/>
          </rPr>
          <t xml:space="preserve">
8</t>
        </r>
      </text>
    </comment>
    <comment ref="C18" authorId="0" shapeId="0" xr:uid="{D06435EF-D9F7-47F2-8C49-3063C203FE71}">
      <text>
        <r>
          <rPr>
            <b/>
            <sz val="9"/>
            <color indexed="81"/>
            <rFont val="Tahoma"/>
            <family val="2"/>
          </rPr>
          <t>Raja Natarajan:</t>
        </r>
        <r>
          <rPr>
            <sz val="9"/>
            <color indexed="81"/>
            <rFont val="Tahoma"/>
            <family val="2"/>
          </rPr>
          <t xml:space="preserve">
9</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42">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3"/>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5"/>
        </ext>
      </extLst>
    </bk>
    <bk>
      <extLst>
        <ext uri="{3e2802c4-a4d2-4d8b-9148-e3be6c30e623}">
          <xlrd:rvb i="168"/>
        </ext>
      </extLst>
    </bk>
    <bk>
      <extLst>
        <ext uri="{3e2802c4-a4d2-4d8b-9148-e3be6c30e623}">
          <xlrd:rvb i="174"/>
        </ext>
      </extLst>
    </bk>
    <bk>
      <extLst>
        <ext uri="{3e2802c4-a4d2-4d8b-9148-e3be6c30e623}">
          <xlrd:rvb i="177"/>
        </ext>
      </extLst>
    </bk>
    <bk>
      <extLst>
        <ext uri="{3e2802c4-a4d2-4d8b-9148-e3be6c30e623}">
          <xlrd:rvb i="180"/>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49"/>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67"/>
        </ext>
      </extLst>
    </bk>
    <bk>
      <extLst>
        <ext uri="{3e2802c4-a4d2-4d8b-9148-e3be6c30e623}">
          <xlrd:rvb i="270"/>
        </ext>
      </extLst>
    </bk>
    <bk>
      <extLst>
        <ext uri="{3e2802c4-a4d2-4d8b-9148-e3be6c30e623}">
          <xlrd:rvb i="276"/>
        </ext>
      </extLst>
    </bk>
    <bk>
      <extLst>
        <ext uri="{3e2802c4-a4d2-4d8b-9148-e3be6c30e623}">
          <xlrd:rvb i="279"/>
        </ext>
      </extLst>
    </bk>
    <bk>
      <extLst>
        <ext uri="{3e2802c4-a4d2-4d8b-9148-e3be6c30e623}">
          <xlrd:rvb i="282"/>
        </ext>
      </extLst>
    </bk>
    <bk>
      <extLst>
        <ext uri="{3e2802c4-a4d2-4d8b-9148-e3be6c30e623}">
          <xlrd:rvb i="285"/>
        </ext>
      </extLst>
    </bk>
    <bk>
      <extLst>
        <ext uri="{3e2802c4-a4d2-4d8b-9148-e3be6c30e623}">
          <xlrd:rvb i="288"/>
        </ext>
      </extLst>
    </bk>
    <bk>
      <extLst>
        <ext uri="{3e2802c4-a4d2-4d8b-9148-e3be6c30e623}">
          <xlrd:rvb i="291"/>
        </ext>
      </extLst>
    </bk>
    <bk>
      <extLst>
        <ext uri="{3e2802c4-a4d2-4d8b-9148-e3be6c30e623}">
          <xlrd:rvb i="294"/>
        </ext>
      </extLst>
    </bk>
    <bk>
      <extLst>
        <ext uri="{3e2802c4-a4d2-4d8b-9148-e3be6c30e623}">
          <xlrd:rvb i="297"/>
        </ext>
      </extLst>
    </bk>
    <bk>
      <extLst>
        <ext uri="{3e2802c4-a4d2-4d8b-9148-e3be6c30e623}">
          <xlrd:rvb i="300"/>
        </ext>
      </extLst>
    </bk>
    <bk>
      <extLst>
        <ext uri="{3e2802c4-a4d2-4d8b-9148-e3be6c30e623}">
          <xlrd:rvb i="303"/>
        </ext>
      </extLst>
    </bk>
    <bk>
      <extLst>
        <ext uri="{3e2802c4-a4d2-4d8b-9148-e3be6c30e623}">
          <xlrd:rvb i="306"/>
        </ext>
      </extLst>
    </bk>
    <bk>
      <extLst>
        <ext uri="{3e2802c4-a4d2-4d8b-9148-e3be6c30e623}">
          <xlrd:rvb i="312"/>
        </ext>
      </extLst>
    </bk>
    <bk>
      <extLst>
        <ext uri="{3e2802c4-a4d2-4d8b-9148-e3be6c30e623}">
          <xlrd:rvb i="315"/>
        </ext>
      </extLst>
    </bk>
    <bk>
      <extLst>
        <ext uri="{3e2802c4-a4d2-4d8b-9148-e3be6c30e623}">
          <xlrd:rvb i="318"/>
        </ext>
      </extLst>
    </bk>
    <bk>
      <extLst>
        <ext uri="{3e2802c4-a4d2-4d8b-9148-e3be6c30e623}">
          <xlrd:rvb i="321"/>
        </ext>
      </extLst>
    </bk>
    <bk>
      <extLst>
        <ext uri="{3e2802c4-a4d2-4d8b-9148-e3be6c30e623}">
          <xlrd:rvb i="324"/>
        </ext>
      </extLst>
    </bk>
    <bk>
      <extLst>
        <ext uri="{3e2802c4-a4d2-4d8b-9148-e3be6c30e623}">
          <xlrd:rvb i="327"/>
        </ext>
      </extLst>
    </bk>
    <bk>
      <extLst>
        <ext uri="{3e2802c4-a4d2-4d8b-9148-e3be6c30e623}">
          <xlrd:rvb i="330"/>
        </ext>
      </extLst>
    </bk>
    <bk>
      <extLst>
        <ext uri="{3e2802c4-a4d2-4d8b-9148-e3be6c30e623}">
          <xlrd:rvb i="333"/>
        </ext>
      </extLst>
    </bk>
    <bk>
      <extLst>
        <ext uri="{3e2802c4-a4d2-4d8b-9148-e3be6c30e623}">
          <xlrd:rvb i="336"/>
        </ext>
      </extLst>
    </bk>
    <bk>
      <extLst>
        <ext uri="{3e2802c4-a4d2-4d8b-9148-e3be6c30e623}">
          <xlrd:rvb i="339"/>
        </ext>
      </extLst>
    </bk>
    <bk>
      <extLst>
        <ext uri="{3e2802c4-a4d2-4d8b-9148-e3be6c30e623}">
          <xlrd:rvb i="342"/>
        </ext>
      </extLst>
    </bk>
    <bk>
      <extLst>
        <ext uri="{3e2802c4-a4d2-4d8b-9148-e3be6c30e623}">
          <xlrd:rvb i="345"/>
        </ext>
      </extLst>
    </bk>
    <bk>
      <extLst>
        <ext uri="{3e2802c4-a4d2-4d8b-9148-e3be6c30e623}">
          <xlrd:rvb i="351"/>
        </ext>
      </extLst>
    </bk>
    <bk>
      <extLst>
        <ext uri="{3e2802c4-a4d2-4d8b-9148-e3be6c30e623}">
          <xlrd:rvb i="354"/>
        </ext>
      </extLst>
    </bk>
    <bk>
      <extLst>
        <ext uri="{3e2802c4-a4d2-4d8b-9148-e3be6c30e623}">
          <xlrd:rvb i="357"/>
        </ext>
      </extLst>
    </bk>
    <bk>
      <extLst>
        <ext uri="{3e2802c4-a4d2-4d8b-9148-e3be6c30e623}">
          <xlrd:rvb i="360"/>
        </ext>
      </extLst>
    </bk>
    <bk>
      <extLst>
        <ext uri="{3e2802c4-a4d2-4d8b-9148-e3be6c30e623}">
          <xlrd:rvb i="363"/>
        </ext>
      </extLst>
    </bk>
    <bk>
      <extLst>
        <ext uri="{3e2802c4-a4d2-4d8b-9148-e3be6c30e623}">
          <xlrd:rvb i="366"/>
        </ext>
      </extLst>
    </bk>
    <bk>
      <extLst>
        <ext uri="{3e2802c4-a4d2-4d8b-9148-e3be6c30e623}">
          <xlrd:rvb i="369"/>
        </ext>
      </extLst>
    </bk>
    <bk>
      <extLst>
        <ext uri="{3e2802c4-a4d2-4d8b-9148-e3be6c30e623}">
          <xlrd:rvb i="375"/>
        </ext>
      </extLst>
    </bk>
    <bk>
      <extLst>
        <ext uri="{3e2802c4-a4d2-4d8b-9148-e3be6c30e623}">
          <xlrd:rvb i="378"/>
        </ext>
      </extLst>
    </bk>
    <bk>
      <extLst>
        <ext uri="{3e2802c4-a4d2-4d8b-9148-e3be6c30e623}">
          <xlrd:rvb i="381"/>
        </ext>
      </extLst>
    </bk>
    <bk>
      <extLst>
        <ext uri="{3e2802c4-a4d2-4d8b-9148-e3be6c30e623}">
          <xlrd:rvb i="384"/>
        </ext>
      </extLst>
    </bk>
    <bk>
      <extLst>
        <ext uri="{3e2802c4-a4d2-4d8b-9148-e3be6c30e623}">
          <xlrd:rvb i="390"/>
        </ext>
      </extLst>
    </bk>
    <bk>
      <extLst>
        <ext uri="{3e2802c4-a4d2-4d8b-9148-e3be6c30e623}">
          <xlrd:rvb i="393"/>
        </ext>
      </extLst>
    </bk>
    <bk>
      <extLst>
        <ext uri="{3e2802c4-a4d2-4d8b-9148-e3be6c30e623}">
          <xlrd:rvb i="396"/>
        </ext>
      </extLst>
    </bk>
    <bk>
      <extLst>
        <ext uri="{3e2802c4-a4d2-4d8b-9148-e3be6c30e623}">
          <xlrd:rvb i="403"/>
        </ext>
      </extLst>
    </bk>
    <bk>
      <extLst>
        <ext uri="{3e2802c4-a4d2-4d8b-9148-e3be6c30e623}">
          <xlrd:rvb i="406"/>
        </ext>
      </extLst>
    </bk>
    <bk>
      <extLst>
        <ext uri="{3e2802c4-a4d2-4d8b-9148-e3be6c30e623}">
          <xlrd:rvb i="409"/>
        </ext>
      </extLst>
    </bk>
    <bk>
      <extLst>
        <ext uri="{3e2802c4-a4d2-4d8b-9148-e3be6c30e623}">
          <xlrd:rvb i="415"/>
        </ext>
      </extLst>
    </bk>
    <bk>
      <extLst>
        <ext uri="{3e2802c4-a4d2-4d8b-9148-e3be6c30e623}">
          <xlrd:rvb i="418"/>
        </ext>
      </extLst>
    </bk>
    <bk>
      <extLst>
        <ext uri="{3e2802c4-a4d2-4d8b-9148-e3be6c30e623}">
          <xlrd:rvb i="421"/>
        </ext>
      </extLst>
    </bk>
    <bk>
      <extLst>
        <ext uri="{3e2802c4-a4d2-4d8b-9148-e3be6c30e623}">
          <xlrd:rvb i="424"/>
        </ext>
      </extLst>
    </bk>
    <bk>
      <extLst>
        <ext uri="{3e2802c4-a4d2-4d8b-9148-e3be6c30e623}">
          <xlrd:rvb i="427"/>
        </ext>
      </extLst>
    </bk>
    <bk>
      <extLst>
        <ext uri="{3e2802c4-a4d2-4d8b-9148-e3be6c30e623}">
          <xlrd:rvb i="430"/>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futureMetadata>
  <valueMetadata count="14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valueMetadata>
</metadata>
</file>

<file path=xl/sharedStrings.xml><?xml version="1.0" encoding="utf-8"?>
<sst xmlns="http://schemas.openxmlformats.org/spreadsheetml/2006/main" count="1221" uniqueCount="345">
  <si>
    <t>ticker</t>
  </si>
  <si>
    <t>price</t>
  </si>
  <si>
    <t>sector</t>
  </si>
  <si>
    <t>EPS</t>
  </si>
  <si>
    <t>PE</t>
  </si>
  <si>
    <t>IND. PE</t>
  </si>
  <si>
    <t>BOOK VAL</t>
  </si>
  <si>
    <t>FACE VAL</t>
  </si>
  <si>
    <t>FUNDAMENTAL STRONG</t>
  </si>
  <si>
    <t>YES</t>
  </si>
  <si>
    <t>SHARE HOLDING</t>
  </si>
  <si>
    <t>GOOD</t>
  </si>
  <si>
    <t>HDFCLIFE</t>
  </si>
  <si>
    <t>INSURANCE</t>
  </si>
  <si>
    <t>CIPLA</t>
  </si>
  <si>
    <t>SUNPHARMA</t>
  </si>
  <si>
    <t>PHARMA</t>
  </si>
  <si>
    <t>OPM %</t>
  </si>
  <si>
    <t>TATACONSUM</t>
  </si>
  <si>
    <t>CGAR %</t>
  </si>
  <si>
    <t>FMCG</t>
  </si>
  <si>
    <t>PROPERTIES</t>
  </si>
  <si>
    <t>GODREJPROP</t>
  </si>
  <si>
    <t>LT</t>
  </si>
  <si>
    <t>DIVIDEND %</t>
  </si>
  <si>
    <t>IT</t>
  </si>
  <si>
    <t>URJA</t>
  </si>
  <si>
    <t>RENEWABLE ENERGY</t>
  </si>
  <si>
    <t>SEE AND BUY IT IN DIP</t>
  </si>
  <si>
    <t>SOLAR ENERGY BUSINESS IS KEY</t>
  </si>
  <si>
    <t>SECTOR</t>
  </si>
  <si>
    <t>TICKER</t>
  </si>
  <si>
    <t>PRICE</t>
  </si>
  <si>
    <t>SUGGESTED BY</t>
  </si>
  <si>
    <t>STEEL</t>
  </si>
  <si>
    <t>SHARE BEGINNER</t>
  </si>
  <si>
    <t>VDAN</t>
  </si>
  <si>
    <t>TAMIL TRADERS ZONE</t>
  </si>
  <si>
    <t>DATE</t>
  </si>
  <si>
    <t>HCG</t>
  </si>
  <si>
    <t>HEALTHCARE</t>
  </si>
  <si>
    <t>INDIAN INVESTOR</t>
  </si>
  <si>
    <t xml:space="preserve"> </t>
  </si>
  <si>
    <t>BUY NOW AROUND  220-215, BUY AT DIPS , TP 300-500</t>
  </si>
  <si>
    <t>DEFENCE</t>
  </si>
  <si>
    <t>BEL</t>
  </si>
  <si>
    <t>BUY NOW 195-200</t>
  </si>
  <si>
    <t>CENTEXT</t>
  </si>
  <si>
    <t>SEE FOR 2 YEARS FOR DOUBLE</t>
  </si>
  <si>
    <t>EV</t>
  </si>
  <si>
    <t>TATAMOTORS</t>
  </si>
  <si>
    <t>M&amp;M</t>
  </si>
  <si>
    <t>LONG TERM GOOD</t>
  </si>
  <si>
    <t>ASHOKLEY</t>
  </si>
  <si>
    <t>EXIDEIND</t>
  </si>
  <si>
    <t>TAXTAPOWER</t>
  </si>
  <si>
    <t>JBMA</t>
  </si>
  <si>
    <t>ITC</t>
  </si>
  <si>
    <t>STRONG</t>
  </si>
  <si>
    <t>GODREJCP</t>
  </si>
  <si>
    <t>HINDUNILVR</t>
  </si>
  <si>
    <t>DABUR</t>
  </si>
  <si>
    <t>NESTLEIND</t>
  </si>
  <si>
    <t>RELIANCE</t>
  </si>
  <si>
    <t>DMART</t>
  </si>
  <si>
    <t>VMART</t>
  </si>
  <si>
    <t>SHOPERSTOP</t>
  </si>
  <si>
    <t>SBIN</t>
  </si>
  <si>
    <t>IDBI</t>
  </si>
  <si>
    <t>MEDIUM</t>
  </si>
  <si>
    <t>BANKBARODA</t>
  </si>
  <si>
    <t>PNB</t>
  </si>
  <si>
    <t>IOB</t>
  </si>
  <si>
    <t>ICICI</t>
  </si>
  <si>
    <t>KOTAKBANK</t>
  </si>
  <si>
    <t>BAJAJFINSV</t>
  </si>
  <si>
    <t>TATAPOWER</t>
  </si>
  <si>
    <t>JSWENERGY</t>
  </si>
  <si>
    <t>BORORENEW</t>
  </si>
  <si>
    <t>PRAJIND</t>
  </si>
  <si>
    <t>ADANIPOWER</t>
  </si>
  <si>
    <t>BAJAJ-AUTO</t>
  </si>
  <si>
    <t>TVSMOTOR</t>
  </si>
  <si>
    <t>TATACHEM</t>
  </si>
  <si>
    <t>AMARAJABAT</t>
  </si>
  <si>
    <t>TATAELXSI</t>
  </si>
  <si>
    <t>KPITTECH</t>
  </si>
  <si>
    <t>DIVISLAB</t>
  </si>
  <si>
    <t>DRREDDY</t>
  </si>
  <si>
    <t>AARTIDRUGS</t>
  </si>
  <si>
    <t>LALPATHLAB</t>
  </si>
  <si>
    <t>GLAND</t>
  </si>
  <si>
    <t>SBILIFE</t>
  </si>
  <si>
    <t>ICICIPRULI</t>
  </si>
  <si>
    <t>ICICIGI</t>
  </si>
  <si>
    <t>SWASTIVI</t>
  </si>
  <si>
    <t>SVARTCORP</t>
  </si>
  <si>
    <t>MICEL-BE</t>
  </si>
  <si>
    <t>WEAK</t>
  </si>
  <si>
    <t>SUNDARAM-BE</t>
  </si>
  <si>
    <t>UNITECH-BZ</t>
  </si>
  <si>
    <t>GTLINFRA-BE</t>
  </si>
  <si>
    <t>PALCO METAL</t>
  </si>
  <si>
    <t>SINTEX-BE</t>
  </si>
  <si>
    <t>HALDYNGL</t>
  </si>
  <si>
    <t>AQFINTECH</t>
  </si>
  <si>
    <t>PTL</t>
  </si>
  <si>
    <t>ASAL-BE</t>
  </si>
  <si>
    <t>NELCO-BE</t>
  </si>
  <si>
    <t>ACE</t>
  </si>
  <si>
    <t>ALKYLAMINE</t>
  </si>
  <si>
    <t>ANDHRAPAP</t>
  </si>
  <si>
    <t>ARVIND</t>
  </si>
  <si>
    <t>ASIANPAINT</t>
  </si>
  <si>
    <t>AUROPHARMA</t>
  </si>
  <si>
    <t>BHANDARI</t>
  </si>
  <si>
    <t>BIOCON</t>
  </si>
  <si>
    <t>CDSL</t>
  </si>
  <si>
    <t>COALINDIA</t>
  </si>
  <si>
    <t>CONCOR</t>
  </si>
  <si>
    <t>DALBHARAT</t>
  </si>
  <si>
    <t>EASEMYTRIP</t>
  </si>
  <si>
    <t>FSL</t>
  </si>
  <si>
    <t>GOKULAGRO</t>
  </si>
  <si>
    <t>GOKUL</t>
  </si>
  <si>
    <t>FLUOROCHEM</t>
  </si>
  <si>
    <t>HATHWAY</t>
  </si>
  <si>
    <t>HCLTECH</t>
  </si>
  <si>
    <t>HDFCBANK</t>
  </si>
  <si>
    <t>HEROMOTOCO</t>
  </si>
  <si>
    <t>HAL</t>
  </si>
  <si>
    <t>HDFC</t>
  </si>
  <si>
    <t>ICICIBANK</t>
  </si>
  <si>
    <t>IFCI</t>
  </si>
  <si>
    <t>INDIANB</t>
  </si>
  <si>
    <t>IRCTC</t>
  </si>
  <si>
    <t>INFY</t>
  </si>
  <si>
    <t>IRCON</t>
  </si>
  <si>
    <t>JPPOWER</t>
  </si>
  <si>
    <t>JPINFRATEC</t>
  </si>
  <si>
    <t>KNRCON</t>
  </si>
  <si>
    <t>KOTHARIPET</t>
  </si>
  <si>
    <t>KIMS</t>
  </si>
  <si>
    <t>LAURUSLABS</t>
  </si>
  <si>
    <t>LXCHEM</t>
  </si>
  <si>
    <t>LEMONTREE</t>
  </si>
  <si>
    <t>DAAWAT</t>
  </si>
  <si>
    <t>MANAKSIA</t>
  </si>
  <si>
    <t>MARICO</t>
  </si>
  <si>
    <t>MMTC</t>
  </si>
  <si>
    <t>MOTHERSUMI</t>
  </si>
  <si>
    <t>MPHASIS</t>
  </si>
  <si>
    <t>NFL</t>
  </si>
  <si>
    <t>NAVINFLUOR</t>
  </si>
  <si>
    <t>NEOGEN</t>
  </si>
  <si>
    <t>NHPC</t>
  </si>
  <si>
    <t>NLCINDIA</t>
  </si>
  <si>
    <t>ONGC</t>
  </si>
  <si>
    <t>PERSISTENT</t>
  </si>
  <si>
    <t>PFIZER</t>
  </si>
  <si>
    <t>PRINCEPIPE</t>
  </si>
  <si>
    <t>RVNL</t>
  </si>
  <si>
    <t>RAILTEL</t>
  </si>
  <si>
    <t>RALLIS</t>
  </si>
  <si>
    <t>RBLBANK</t>
  </si>
  <si>
    <t>ROUTE</t>
  </si>
  <si>
    <t>SHK</t>
  </si>
  <si>
    <t>SBICARD</t>
  </si>
  <si>
    <t>SEACOAST SHIPPING SERVICES LIMITED (XBOM:542753</t>
  </si>
  <si>
    <t>SEQUENT</t>
  </si>
  <si>
    <t>SHARIKA ENTERPRISES LIMITED (XBOM:540786</t>
  </si>
  <si>
    <t>SHREDIGCEM</t>
  </si>
  <si>
    <t>SJVN</t>
  </si>
  <si>
    <t>SOLARINDS</t>
  </si>
  <si>
    <t>SONACOMS</t>
  </si>
  <si>
    <t>SPIC</t>
  </si>
  <si>
    <t>SRF</t>
  </si>
  <si>
    <t>SPARC</t>
  </si>
  <si>
    <t>SUNTV</t>
  </si>
  <si>
    <t>TNPETRO</t>
  </si>
  <si>
    <t>TCS</t>
  </si>
  <si>
    <t>TATAINVEST</t>
  </si>
  <si>
    <t>TATASTEEL</t>
  </si>
  <si>
    <t>TATASTLLP</t>
  </si>
  <si>
    <t>TTML</t>
  </si>
  <si>
    <t>FEDERALBNK</t>
  </si>
  <si>
    <t>INDHOTEL</t>
  </si>
  <si>
    <t>TINPLATE</t>
  </si>
  <si>
    <t>TITAN</t>
  </si>
  <si>
    <t>TRENT</t>
  </si>
  <si>
    <t>TRF</t>
  </si>
  <si>
    <t>TRIDENT</t>
  </si>
  <si>
    <t>TTKPRESTIG</t>
  </si>
  <si>
    <t>TV18BRDCST</t>
  </si>
  <si>
    <t>UNIONBANK</t>
  </si>
  <si>
    <t>VAIBHAVGBL</t>
  </si>
  <si>
    <t>VBL</t>
  </si>
  <si>
    <t>VETO</t>
  </si>
  <si>
    <t>VOLTAS</t>
  </si>
  <si>
    <t>WELSPUNIND</t>
  </si>
  <si>
    <t>WIPRO</t>
  </si>
  <si>
    <t>BAJFINANCE</t>
  </si>
  <si>
    <t>UPL</t>
  </si>
  <si>
    <t>TECHM</t>
  </si>
  <si>
    <t>AXISBANK</t>
  </si>
  <si>
    <t>INDUSINDBK</t>
  </si>
  <si>
    <t>SUPRAJIT</t>
  </si>
  <si>
    <t>STOVEKRAFT</t>
  </si>
  <si>
    <t>AUBANK</t>
  </si>
  <si>
    <t>SAFARI</t>
  </si>
  <si>
    <t>PIIND</t>
  </si>
  <si>
    <t>AMBER</t>
  </si>
  <si>
    <t>SOBHA</t>
  </si>
  <si>
    <t>RKFORGE</t>
  </si>
  <si>
    <t>BPCL</t>
  </si>
  <si>
    <t>AMBUJACEM</t>
  </si>
  <si>
    <t>HINDZINC</t>
  </si>
  <si>
    <t>PETRONET</t>
  </si>
  <si>
    <t>IOC</t>
  </si>
  <si>
    <t>GREENLAM</t>
  </si>
  <si>
    <t>NAM-INDIA</t>
  </si>
  <si>
    <t>AARTIIND</t>
  </si>
  <si>
    <t>BHEL</t>
  </si>
  <si>
    <t>HUDCO</t>
  </si>
  <si>
    <t>IRFC</t>
  </si>
  <si>
    <t>MRPL</t>
  </si>
  <si>
    <t>STOCK NAME</t>
  </si>
  <si>
    <t>S.NO</t>
  </si>
  <si>
    <t>Short Term Growth</t>
  </si>
  <si>
    <t>BUY Suggested</t>
  </si>
  <si>
    <t>Payal</t>
  </si>
  <si>
    <t>Yes. Because of Privatisation price can go upto 450</t>
  </si>
  <si>
    <t>Yes . Below 400 and buy at dips</t>
  </si>
  <si>
    <t>POSITIVES</t>
  </si>
  <si>
    <t>DIVIDEND,FACE VALUE,EPS,PRIVATISATION,</t>
  </si>
  <si>
    <t>subramoney</t>
  </si>
  <si>
    <t xml:space="preserve">Not now </t>
  </si>
  <si>
    <t>Yes</t>
  </si>
  <si>
    <t>Yes. But at 103-110</t>
  </si>
  <si>
    <t>PE,DIVIDEND,FACE VALUE,PRICE BELOW BOOK VALUE</t>
  </si>
  <si>
    <t>watchlist</t>
  </si>
  <si>
    <t>WATCHLIST</t>
  </si>
  <si>
    <t>NEGATIVE</t>
  </si>
  <si>
    <t>IN UPPER ZONE</t>
  </si>
  <si>
    <t>BUY AT 21-22</t>
  </si>
  <si>
    <t>NTPC</t>
  </si>
  <si>
    <t>TORNTPOWER</t>
  </si>
  <si>
    <t>Sticker</t>
  </si>
  <si>
    <t>HUL</t>
  </si>
  <si>
    <t>CMP</t>
  </si>
  <si>
    <t>No. Stocks</t>
  </si>
  <si>
    <t>INFOSYS</t>
  </si>
  <si>
    <t>HCL</t>
  </si>
  <si>
    <t>SBI</t>
  </si>
  <si>
    <t xml:space="preserve">  </t>
  </si>
  <si>
    <t>TATA CONSUMER</t>
  </si>
  <si>
    <t>AXIS</t>
  </si>
  <si>
    <t>HDFC BANK</t>
  </si>
  <si>
    <t>Cost</t>
  </si>
  <si>
    <t>MINDTREE</t>
  </si>
  <si>
    <t>EICHER MOTORS</t>
  </si>
  <si>
    <t>DIVIDEND</t>
  </si>
  <si>
    <t>FACE VALUE</t>
  </si>
  <si>
    <t>CGAR % 5Y</t>
  </si>
  <si>
    <t>JUBLFOOD</t>
  </si>
  <si>
    <t>CHOLAFIN</t>
  </si>
  <si>
    <t>MUTHOOTFIN</t>
  </si>
  <si>
    <t>ADANIGREEN</t>
  </si>
  <si>
    <t>ADANITRANS</t>
  </si>
  <si>
    <t>POWERFRID</t>
  </si>
  <si>
    <t>RADICO</t>
  </si>
  <si>
    <t>PGHH</t>
  </si>
  <si>
    <t>TORNTPHARM</t>
  </si>
  <si>
    <t>ABBOTINDIA</t>
  </si>
  <si>
    <t>ALKEM</t>
  </si>
  <si>
    <t>IPCALAB</t>
  </si>
  <si>
    <t>GRANULES</t>
  </si>
  <si>
    <t>PRICE TOO HIGH</t>
  </si>
  <si>
    <t>SUGGESTIONS</t>
  </si>
  <si>
    <t>POOR GROWTH</t>
  </si>
  <si>
    <t>WATCH DIPS TO BUY</t>
  </si>
  <si>
    <t>OK. PE IS HIGH</t>
  </si>
  <si>
    <t>NO DIVIDEND &amp; BONUS</t>
  </si>
  <si>
    <t>NO PROMOTER</t>
  </si>
  <si>
    <t>SUGGESTION</t>
  </si>
  <si>
    <t>OK .</t>
  </si>
  <si>
    <t>WAIT FOR DIP</t>
  </si>
  <si>
    <t>BUY AT DIP</t>
  </si>
  <si>
    <t>WAIT</t>
  </si>
  <si>
    <t>BUY AROUND APR</t>
  </si>
  <si>
    <t>YES.BUY AT DIP</t>
  </si>
  <si>
    <t>MANAPPURAM</t>
  </si>
  <si>
    <t>RESISTANCE</t>
  </si>
  <si>
    <t>SUPPORT</t>
  </si>
  <si>
    <t>3-4% LOW FROM 52W LOW</t>
  </si>
  <si>
    <t>PART BUY</t>
  </si>
  <si>
    <t>BUY AT 21 , SL - 18</t>
  </si>
  <si>
    <t>BAJAJ FINANCE</t>
  </si>
  <si>
    <t>JKPAPER</t>
  </si>
  <si>
    <t>APOLLOTYRE</t>
  </si>
  <si>
    <t>NOCIL</t>
  </si>
  <si>
    <t>DIGISPICE</t>
  </si>
  <si>
    <t>BHARATWIRE</t>
  </si>
  <si>
    <t>BSOFT</t>
  </si>
  <si>
    <t>KELLTONTEC</t>
  </si>
  <si>
    <t>SMARTMANTRA</t>
  </si>
  <si>
    <t>ALOKINDS</t>
  </si>
  <si>
    <t>HNDFDS</t>
  </si>
  <si>
    <t>POWER</t>
  </si>
  <si>
    <t>PAPER</t>
  </si>
  <si>
    <t>ENTERTAINMENT</t>
  </si>
  <si>
    <t>TEXTILE</t>
  </si>
  <si>
    <t>BANK</t>
  </si>
  <si>
    <t>TELECOM</t>
  </si>
  <si>
    <t>REFINERIES</t>
  </si>
  <si>
    <t>FINANCE</t>
  </si>
  <si>
    <t>BUY</t>
  </si>
  <si>
    <t>TYRES</t>
  </si>
  <si>
    <t>CHEMICALS</t>
  </si>
  <si>
    <t>METALS</t>
  </si>
  <si>
    <t>CEMENT</t>
  </si>
  <si>
    <t>DWARKESH</t>
  </si>
  <si>
    <t>SUGAR</t>
  </si>
  <si>
    <t>ASTERDM</t>
  </si>
  <si>
    <t>HEALTH</t>
  </si>
  <si>
    <t>ORIENTCEM</t>
  </si>
  <si>
    <t>BHARTIARTL</t>
  </si>
  <si>
    <t>PHOENIXLTD</t>
  </si>
  <si>
    <t>CONSTRUCTION</t>
  </si>
  <si>
    <t>PLASTIC</t>
  </si>
  <si>
    <t>FINPIPE</t>
  </si>
  <si>
    <t>SUZLON</t>
  </si>
  <si>
    <t>CANBK</t>
  </si>
  <si>
    <t>LOW VOLUME</t>
  </si>
  <si>
    <t>LOW</t>
  </si>
  <si>
    <t>STARTED SELL VOLUME</t>
  </si>
  <si>
    <t>??</t>
  </si>
  <si>
    <t>GONE ABOVE</t>
  </si>
  <si>
    <t>MINDAIND</t>
  </si>
  <si>
    <t>ASTRAL</t>
  </si>
  <si>
    <t>DEEPAKNTR</t>
  </si>
  <si>
    <t>TANLA</t>
  </si>
  <si>
    <t>NEWGEN</t>
  </si>
  <si>
    <t>CAMS</t>
  </si>
  <si>
    <t>POLYPLEX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</si>
</sst>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FF0000"/>
      <name val="Calibri"/>
      <family val="2"/>
      <scheme val="minor"/>
    </font>
    <font>
      <b/>
      <sz val="11"/>
      <color theme="1"/>
      <name val="Calibri"/>
      <family val="2"/>
      <scheme val="minor"/>
    </font>
    <font>
      <sz val="11"/>
      <color theme="7" tint="-0.249977111117893"/>
      <name val="Calibri"/>
      <family val="2"/>
      <scheme val="minor"/>
    </font>
    <font>
      <sz val="11"/>
      <color theme="9"/>
      <name val="Calibri"/>
      <family val="2"/>
      <scheme val="minor"/>
    </font>
    <font>
      <sz val="9"/>
      <color indexed="81"/>
      <name val="Tahoma"/>
      <family val="2"/>
    </font>
    <font>
      <b/>
      <sz val="9"/>
      <color indexed="81"/>
      <name val="Tahoma"/>
      <family val="2"/>
    </font>
    <font>
      <sz val="11"/>
      <color theme="5" tint="-0.249977111117893"/>
      <name val="Calibri"/>
      <family val="2"/>
      <scheme val="minor"/>
    </font>
    <font>
      <sz val="11"/>
      <color rgb="FF00B050"/>
      <name val="Calibri"/>
      <family val="2"/>
      <scheme val="minor"/>
    </font>
    <font>
      <sz val="11"/>
      <color theme="5" tint="0.39997558519241921"/>
      <name val="Calibri"/>
      <family val="2"/>
      <scheme val="minor"/>
    </font>
  </fonts>
  <fills count="18">
    <fill>
      <patternFill patternType="none"/>
    </fill>
    <fill>
      <patternFill patternType="gray125"/>
    </fill>
    <fill>
      <patternFill patternType="solid">
        <fgColor theme="7"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92D050"/>
        <bgColor indexed="64"/>
      </patternFill>
    </fill>
    <fill>
      <patternFill patternType="solid">
        <fgColor theme="4"/>
        <bgColor indexed="64"/>
      </patternFill>
    </fill>
    <fill>
      <patternFill patternType="solid">
        <fgColor theme="8"/>
        <bgColor indexed="64"/>
      </patternFill>
    </fill>
    <fill>
      <patternFill patternType="solid">
        <fgColor theme="5"/>
        <bgColor indexed="64"/>
      </patternFill>
    </fill>
    <fill>
      <patternFill patternType="solid">
        <fgColor rgb="FF00B050"/>
        <bgColor indexed="64"/>
      </patternFill>
    </fill>
    <fill>
      <patternFill patternType="solid">
        <fgColor rgb="FF00B0F0"/>
        <bgColor indexed="64"/>
      </patternFill>
    </fill>
    <fill>
      <patternFill patternType="solid">
        <fgColor rgb="FFFFFF00"/>
        <bgColor indexed="64"/>
      </patternFill>
    </fill>
    <fill>
      <patternFill patternType="solid">
        <fgColor rgb="FF7030A0"/>
        <bgColor indexed="64"/>
      </patternFill>
    </fill>
    <fill>
      <patternFill patternType="solid">
        <fgColor rgb="FFFFC000"/>
        <bgColor indexed="64"/>
      </patternFill>
    </fill>
    <fill>
      <patternFill patternType="solid">
        <fgColor rgb="FF0070C0"/>
        <bgColor indexed="64"/>
      </patternFill>
    </fill>
    <fill>
      <patternFill patternType="solid">
        <fgColor rgb="FFFF0000"/>
        <bgColor indexed="64"/>
      </patternFill>
    </fill>
  </fills>
  <borders count="4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101">
    <xf numFmtId="0" fontId="0" fillId="0" borderId="0" xfId="0"/>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14" fontId="0" fillId="0" borderId="0" xfId="0" applyNumberFormat="1"/>
    <xf numFmtId="49" fontId="0" fillId="0" borderId="0" xfId="0" applyNumberFormat="1"/>
    <xf numFmtId="0" fontId="0" fillId="7" borderId="0" xfId="0" applyFill="1"/>
    <xf numFmtId="14" fontId="0" fillId="7" borderId="0" xfId="0" applyNumberFormat="1" applyFill="1"/>
    <xf numFmtId="0" fontId="0" fillId="8" borderId="0" xfId="0" applyFill="1"/>
    <xf numFmtId="0" fontId="2" fillId="8" borderId="27" xfId="0" applyFont="1" applyFill="1" applyBorder="1"/>
    <xf numFmtId="0" fontId="2" fillId="8" borderId="1" xfId="0" applyFont="1" applyFill="1" applyBorder="1"/>
    <xf numFmtId="0" fontId="2" fillId="8" borderId="28" xfId="0" applyFont="1" applyFill="1" applyBorder="1"/>
    <xf numFmtId="0" fontId="2" fillId="8" borderId="1" xfId="0" applyFont="1" applyFill="1" applyBorder="1" applyAlignment="1">
      <alignment horizontal="center" vertical="top"/>
    </xf>
    <xf numFmtId="0" fontId="2" fillId="8" borderId="29" xfId="0" applyFont="1" applyFill="1" applyBorder="1" applyAlignment="1">
      <alignment horizontal="center" vertical="top"/>
    </xf>
    <xf numFmtId="0" fontId="2" fillId="8" borderId="21" xfId="0" applyFont="1" applyFill="1" applyBorder="1" applyAlignment="1">
      <alignment horizontal="center" vertical="top"/>
    </xf>
    <xf numFmtId="0" fontId="0" fillId="0" borderId="22" xfId="0" applyBorder="1" applyAlignment="1">
      <alignment horizontal="center" vertical="top"/>
    </xf>
    <xf numFmtId="0" fontId="0" fillId="0" borderId="18" xfId="0" applyBorder="1" applyAlignment="1">
      <alignment horizontal="center" vertical="top"/>
    </xf>
    <xf numFmtId="0" fontId="0" fillId="0" borderId="30" xfId="0" applyBorder="1" applyAlignment="1">
      <alignment horizontal="center" vertical="top"/>
    </xf>
    <xf numFmtId="0" fontId="0" fillId="0" borderId="20" xfId="0" applyBorder="1" applyAlignment="1">
      <alignment horizontal="center" vertical="top"/>
    </xf>
    <xf numFmtId="0" fontId="2" fillId="8" borderId="19" xfId="0" applyFont="1" applyFill="1"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15" xfId="0" applyBorder="1" applyAlignment="1">
      <alignment horizontal="center" vertical="top"/>
    </xf>
    <xf numFmtId="0" fontId="0" fillId="0" borderId="16" xfId="0" applyBorder="1" applyAlignment="1">
      <alignment horizontal="center" vertical="top"/>
    </xf>
    <xf numFmtId="0" fontId="2" fillId="8" borderId="17" xfId="0" applyFont="1" applyFill="1" applyBorder="1" applyAlignment="1">
      <alignment horizontal="center" vertical="top"/>
    </xf>
    <xf numFmtId="0" fontId="0" fillId="0" borderId="23" xfId="0" applyBorder="1" applyAlignment="1">
      <alignment horizontal="center" vertical="top"/>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18" xfId="0" applyBorder="1" applyAlignment="1">
      <alignment horizontal="center"/>
    </xf>
    <xf numFmtId="0" fontId="0" fillId="0" borderId="22" xfId="0" applyBorder="1" applyAlignment="1">
      <alignment horizontal="center"/>
    </xf>
    <xf numFmtId="0" fontId="0" fillId="0" borderId="20" xfId="0" applyBorder="1" applyAlignment="1">
      <alignment horizontal="center"/>
    </xf>
    <xf numFmtId="0" fontId="0" fillId="0" borderId="34" xfId="0" applyBorder="1" applyAlignment="1">
      <alignment horizontal="center"/>
    </xf>
    <xf numFmtId="0" fontId="0" fillId="0" borderId="32" xfId="0" applyBorder="1" applyAlignment="1">
      <alignment horizontal="center"/>
    </xf>
    <xf numFmtId="0" fontId="0" fillId="0" borderId="35" xfId="0" applyBorder="1" applyAlignment="1">
      <alignment horizontal="center"/>
    </xf>
    <xf numFmtId="0" fontId="0" fillId="0" borderId="27" xfId="0" applyBorder="1" applyAlignment="1">
      <alignment horizontal="center"/>
    </xf>
    <xf numFmtId="0" fontId="0" fillId="0" borderId="1" xfId="0" applyBorder="1" applyAlignment="1">
      <alignment horizontal="center"/>
    </xf>
    <xf numFmtId="0" fontId="0" fillId="0" borderId="28" xfId="0" applyBorder="1" applyAlignment="1">
      <alignment horizontal="center"/>
    </xf>
    <xf numFmtId="0" fontId="2" fillId="0" borderId="29" xfId="0" applyFont="1" applyBorder="1" applyAlignment="1">
      <alignment horizontal="center" vertical="top"/>
    </xf>
    <xf numFmtId="0" fontId="2" fillId="0" borderId="1" xfId="0" applyFont="1" applyBorder="1" applyAlignment="1">
      <alignment horizontal="center" vertical="top"/>
    </xf>
    <xf numFmtId="0" fontId="2" fillId="0" borderId="27" xfId="0" applyFont="1" applyBorder="1" applyAlignment="1">
      <alignment horizontal="center" vertical="top"/>
    </xf>
    <xf numFmtId="0" fontId="0" fillId="9" borderId="30" xfId="0" applyFill="1" applyBorder="1" applyAlignment="1">
      <alignment horizontal="center" vertical="top"/>
    </xf>
    <xf numFmtId="0" fontId="0" fillId="9" borderId="33" xfId="0" applyFill="1" applyBorder="1" applyAlignment="1">
      <alignment horizontal="center" vertical="top"/>
    </xf>
    <xf numFmtId="0" fontId="0" fillId="10" borderId="30" xfId="0" applyFill="1" applyBorder="1" applyAlignment="1">
      <alignment horizontal="center" vertical="top"/>
    </xf>
    <xf numFmtId="0" fontId="0" fillId="10" borderId="18" xfId="0" applyFill="1" applyBorder="1" applyAlignment="1">
      <alignment horizontal="center" vertical="top"/>
    </xf>
    <xf numFmtId="0" fontId="0" fillId="8" borderId="18" xfId="0" applyFill="1" applyBorder="1" applyAlignment="1">
      <alignment horizontal="center" vertical="top"/>
    </xf>
    <xf numFmtId="0" fontId="1" fillId="0" borderId="0" xfId="0" applyFont="1"/>
    <xf numFmtId="0" fontId="3" fillId="0" borderId="0" xfId="0" applyFont="1"/>
    <xf numFmtId="0" fontId="0" fillId="11" borderId="0" xfId="0" applyFill="1"/>
    <xf numFmtId="0" fontId="4" fillId="0" borderId="0" xfId="0" applyFont="1"/>
    <xf numFmtId="0" fontId="0" fillId="12" borderId="30" xfId="0" applyFill="1" applyBorder="1" applyAlignment="1">
      <alignment horizontal="center" vertical="top"/>
    </xf>
    <xf numFmtId="0" fontId="7" fillId="0" borderId="0" xfId="0" applyFont="1"/>
    <xf numFmtId="0" fontId="8" fillId="0" borderId="0" xfId="0" applyFont="1"/>
    <xf numFmtId="0" fontId="9" fillId="0" borderId="0" xfId="0" applyFont="1"/>
    <xf numFmtId="0" fontId="2" fillId="13" borderId="2" xfId="0" applyFont="1" applyFill="1" applyBorder="1"/>
    <xf numFmtId="0" fontId="2" fillId="13" borderId="36" xfId="0" applyFont="1" applyFill="1" applyBorder="1"/>
    <xf numFmtId="0" fontId="2" fillId="13" borderId="4" xfId="0" applyFont="1" applyFill="1" applyBorder="1"/>
    <xf numFmtId="0" fontId="2" fillId="13" borderId="3" xfId="0" applyFont="1" applyFill="1" applyBorder="1" applyAlignment="1">
      <alignment horizontal="center" vertical="top"/>
    </xf>
    <xf numFmtId="0" fontId="2" fillId="13" borderId="36" xfId="0" applyFont="1" applyFill="1" applyBorder="1" applyAlignment="1">
      <alignment horizontal="center" vertical="top"/>
    </xf>
    <xf numFmtId="0" fontId="0" fillId="0" borderId="5" xfId="0" applyBorder="1" applyAlignment="1">
      <alignment horizontal="center"/>
    </xf>
    <xf numFmtId="0" fontId="0" fillId="0" borderId="37" xfId="0" applyBorder="1" applyAlignment="1">
      <alignment horizontal="center"/>
    </xf>
    <xf numFmtId="0" fontId="0" fillId="0" borderId="7" xfId="0" applyBorder="1" applyAlignment="1">
      <alignment horizontal="center"/>
    </xf>
    <xf numFmtId="0" fontId="2" fillId="0" borderId="6" xfId="0" applyFont="1" applyBorder="1" applyAlignment="1">
      <alignment horizontal="center" vertical="top"/>
    </xf>
    <xf numFmtId="0" fontId="2" fillId="0" borderId="37" xfId="0" applyFont="1" applyBorder="1" applyAlignment="1">
      <alignment horizontal="center" vertical="top"/>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0"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11" borderId="8" xfId="0" applyFill="1" applyBorder="1" applyAlignment="1">
      <alignment horizontal="center"/>
    </xf>
    <xf numFmtId="0" fontId="0" fillId="10" borderId="39" xfId="0" applyFill="1" applyBorder="1" applyAlignment="1">
      <alignment horizontal="center" vertical="top"/>
    </xf>
    <xf numFmtId="0" fontId="0" fillId="0" borderId="9" xfId="0" applyBorder="1" applyAlignment="1">
      <alignment horizontal="center" vertical="top"/>
    </xf>
    <xf numFmtId="0" fontId="0" fillId="0" borderId="12" xfId="0" applyFill="1" applyBorder="1" applyAlignment="1">
      <alignment horizontal="center" vertical="top"/>
    </xf>
    <xf numFmtId="0" fontId="0" fillId="16" borderId="40" xfId="0" applyFill="1" applyBorder="1" applyAlignment="1">
      <alignment horizontal="center"/>
    </xf>
    <xf numFmtId="0" fontId="0" fillId="8" borderId="30" xfId="0" applyFill="1" applyBorder="1" applyAlignment="1">
      <alignment horizontal="center"/>
    </xf>
    <xf numFmtId="0" fontId="0" fillId="8" borderId="30" xfId="0" applyFill="1" applyBorder="1" applyAlignment="1">
      <alignment horizontal="center" vertical="top"/>
    </xf>
    <xf numFmtId="0" fontId="0" fillId="12" borderId="30" xfId="0" applyFill="1" applyBorder="1" applyAlignment="1">
      <alignment horizontal="center"/>
    </xf>
    <xf numFmtId="0" fontId="0" fillId="14" borderId="30" xfId="0" applyFont="1" applyFill="1" applyBorder="1" applyAlignment="1">
      <alignment horizontal="center"/>
    </xf>
    <xf numFmtId="0" fontId="0" fillId="14" borderId="31" xfId="0" applyFont="1" applyFill="1"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0" borderId="16" xfId="0" applyBorder="1" applyAlignment="1">
      <alignment horizontal="center"/>
    </xf>
    <xf numFmtId="0" fontId="0" fillId="10" borderId="38" xfId="0" applyFill="1" applyBorder="1" applyAlignment="1">
      <alignment horizontal="center"/>
    </xf>
    <xf numFmtId="0" fontId="0" fillId="10" borderId="39" xfId="0" applyFill="1" applyBorder="1" applyAlignment="1">
      <alignment horizontal="center"/>
    </xf>
    <xf numFmtId="0" fontId="0" fillId="11" borderId="39" xfId="0" applyFill="1" applyBorder="1" applyAlignment="1">
      <alignment horizontal="center"/>
    </xf>
    <xf numFmtId="0" fontId="0" fillId="15" borderId="39" xfId="0" applyFill="1" applyBorder="1" applyAlignment="1">
      <alignment horizontal="center"/>
    </xf>
    <xf numFmtId="3" fontId="0" fillId="0" borderId="0" xfId="0" applyNumberFormat="1"/>
    <xf numFmtId="0" fontId="0" fillId="0" borderId="0" xfId="0" applyFill="1"/>
    <xf numFmtId="14" fontId="0" fillId="0" borderId="0" xfId="0" applyNumberFormat="1" applyFill="1"/>
    <xf numFmtId="0" fontId="0" fillId="17" borderId="0" xfId="0" applyFill="1"/>
    <xf numFmtId="0" fontId="0" fillId="11" borderId="13" xfId="0" applyFill="1" applyBorder="1" applyAlignment="1">
      <alignment horizontal="center"/>
    </xf>
    <xf numFmtId="0" fontId="0" fillId="11" borderId="12" xfId="0" applyFill="1" applyBorder="1" applyAlignment="1">
      <alignment horizontal="center" vertical="top"/>
    </xf>
    <xf numFmtId="14" fontId="0" fillId="15"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Raja Natarajan" id="{AFB68929-2D7C-4B3D-AE52-DC3217CAFCF9}" userId="S::rajan@maveric-systems.com::d0384e18-6fe8-4e4a-bf58-f0449a583c9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64">
  <rv s="0">
    <v>https://www.bing.com/financeapi/forcetrigger?t=ahii8m&amp;q=XNSE%3aJPINFRATEC&amp;form=skydnc</v>
    <v>Learn more on Bing</v>
  </rv>
  <rv s="1">
    <v>en-IN</v>
    <v>ahii8m</v>
    <v>268435456</v>
    <v>1</v>
    <v>Powered by Refinitiv</v>
    <v>0</v>
    <v>Jaypee Infratech Limited (XNSE:JPINFRATEC)</v>
    <v>2</v>
    <v>3</v>
    <v>Finance</v>
    <v>4</v>
    <v>4.25</v>
    <v>1.4</v>
    <v>1.8759999999999999</v>
    <v>0.2</v>
    <v>4.9382999999999996E-2</v>
    <v>INR</v>
    <v>Jaypee Infratech Limited (JIL) is engaged in the real estate development. The Company's business segments include Yamuna Expressway Project and Healthcare. The Company's Yamuna Expressway Project is an integrated project, which inter alia includes construction of 165 kilometers long six lane access controlled expressway from Noida to Agra with provision for expansion to eight lane with service roads and associated structures on build, own, operate and transfer basis. The Company provides operation and maintenance of Yamuna Expressway for over 36 years, collection of toll and the rights for development of approximately 25 million square meters of land for residential, commercial, institutional, amusement and industrial purposes at over five land parcels along the expressway. The Healthcare business segment includes hospitals. The Company has commenced development of its Land Parcel-1 at Noida, Land Parcel-3 at Mirzapur and Land Parcel-5 at Agra.</v>
    <v>156</v>
    <v>National Stock Exchange of India</v>
    <v>XNSE</v>
    <v>XNSE</v>
    <v>Sector 128, Distt. Gautam Budh Nagar, NOIDA, UTTAR PRADESH, 201304 IN</v>
    <v>4.25</v>
    <v>Construction &amp; Engineering</v>
    <v>Stock</v>
    <v>44571.406319444446</v>
    <v>0</v>
    <v>4.25</v>
    <v>5625181000</v>
    <v>Jaypee Infratech Limited</v>
    <v>Jaypee Infratech Limited</v>
    <v>4.25</v>
    <v>0</v>
    <v>4.05</v>
    <v>4.25</v>
    <v>1388933000</v>
    <v>JPINFRATEC</v>
    <v>Jaypee Infratech Limited (XNSE:JPINFRATEC)</v>
    <v>609656</v>
    <v>2007</v>
  </rv>
  <rv s="2">
    <v>1</v>
  </rv>
  <rv s="0">
    <v>https://www.bing.com/financeapi/forcetrigger?t=ahiiec&amp;q=XNSE%3aJPPOWER&amp;form=skydnc</v>
    <v>Learn more on Bing</v>
  </rv>
  <rv s="1">
    <v>en-IN</v>
    <v>ahiiec</v>
    <v>268435456</v>
    <v>1</v>
    <v>Powered by Refinitiv</v>
    <v>0</v>
    <v>JAIPRAKASH POWER VENTURES LIMITED (XNSE:JPPOWER)</v>
    <v>2</v>
    <v>3</v>
    <v>Finance</v>
    <v>4</v>
    <v>9.25</v>
    <v>2.4</v>
    <v>2.0739000000000001</v>
    <v>0.8</v>
    <v>9.4674999999999995E-2</v>
    <v>INR</v>
    <v>Jaiprakash Power Ventures Limited is engaged in the generation of power, including hydro and thermal; cement grinding; captive coal mining, and transmission of power. The Company owns and operates a 400 megawatt (MW) Jaypee Vishnuprayag Hydro Electric Plant at District Chamoli, Uttarakhand; a 1,320 MW Jaypee Nigrie Super Thermal Power Plant at Nigrie, Singrauli district, Madhya Pradesh, and a 500 MW Jaypee Bina Thermal Power Plant at Sirchopt village, Sagar district, Madhya Pradesh. The Company is engaged in operating Cement Grinding Unit, which has a capacity of two metric tons per annum (MTPA) at Nigrie, Singrauli district, Madhya Pradesh, and is also engaged in Captive coal mining operations at Amelia Coal Block for supply of Coal to Jaypee Nigrie Super Thermal Power Plant. The Company is operating a 660 MW Thermal Power Plant through Prayagraj Power Generation Company Limited, which is a subsidiary of the company, at Bara, Allahabad District.</v>
    <v>1766</v>
    <v>National Stock Exchange of India</v>
    <v>XNSE</v>
    <v>XNSE</v>
    <v>JA House, 53, Basant Lok,, Vasant Vihar, NEW DELHI, DELHI, 110057 IN</v>
    <v>9.25</v>
    <v>Electrical Utilities &amp; IPPs</v>
    <v>Stock</v>
    <v>44571.406307870369</v>
    <v>3</v>
    <v>8.6</v>
    <v>57911730000</v>
    <v>JAIPRAKASH POWER VENTURES LIMITED</v>
    <v>JAIPRAKASH POWER VENTURES LIMITED</v>
    <v>8.6999999999999993</v>
    <v>38.619999999999997</v>
    <v>8.4499999999999993</v>
    <v>9.25</v>
    <v>6853459000</v>
    <v>JPPOWER</v>
    <v>JAIPRAKASH POWER VENTURES LIMITED (XNSE:JPPOWER)</v>
    <v>345153182</v>
    <v>1994</v>
  </rv>
  <rv s="2">
    <v>4</v>
  </rv>
  <rv s="0">
    <v>https://www.bing.com/financeapi/forcetrigger?t=ahh6p2&amp;q=XNSE%3aBHANDARI&amp;form=skydnc</v>
    <v>Learn more on Bing</v>
  </rv>
  <rv s="3">
    <v>en-IN</v>
    <v>ahh6p2</v>
    <v>268435456</v>
    <v>1</v>
    <v>Powered by Refinitiv</v>
    <v>5</v>
    <v>BHANDARI HOSIERY EXPORTS LTD (XNSE:BHANDARI)</v>
    <v>2</v>
    <v>6</v>
    <v>Finance</v>
    <v>4</v>
    <v>13.35</v>
    <v>2</v>
    <v>1.5626</v>
    <v>0.6</v>
    <v>4.7058999999999997E-2</v>
    <v>INR</v>
    <v>Bhandari Hosiery Exports Limited is an India-based company, which offers knitted hosiery garments and fabrics. The Company's geographic segments include export and domestic. The Company is engaged primarily in the manufacture and export of knitted hosiery garments such as T-shirts, pullovers, sweatshirts, polo shirts, tracksuits, pajamas, lowers, women's knitted tops with embroidery and prints. The Company specializes in printing on garments and washing. The Company offers products under various categories, such as men's wear, women's wear and kids wear. The Company's manufacturing plant is located at Ludhiana. The Company's Fabric division has 10 tons per day fabric dyeing capacity. The Company has in house Garments division for exports and domestic sales. The Company also offers specialized fabrics, such as viscose, Teflon, stain resistance, Lycra and blends.</v>
    <v>National Stock Exchange of India</v>
    <v>XNSE</v>
    <v>XNSE</v>
    <v>Bhandari House,, Village Meherban,, Rahon Road,, LUDHIANA, PUNJAB, 141007 IN</v>
    <v>13.35</v>
    <v>Textiles &amp; Apparel</v>
    <v>Stock</v>
    <v>44571.406319444446</v>
    <v>6</v>
    <v>13.35</v>
    <v>1868219000</v>
    <v>BHANDARI HOSIERY EXPORTS LTD</v>
    <v>BHANDARI HOSIERY EXPORTS LTD</v>
    <v>13.35</v>
    <v>31.27</v>
    <v>12.75</v>
    <v>13.35</v>
    <v>146526900</v>
    <v>BHANDARI</v>
    <v>BHANDARI HOSIERY EXPORTS LTD (XNSE:BHANDARI)</v>
    <v>138085</v>
    <v>1993</v>
  </rv>
  <rv s="2">
    <v>7</v>
  </rv>
  <rv s="0">
    <v>https://www.bing.com/financeapi/forcetrigger?t=axdbzr&amp;q=XBOM%3a540786&amp;form=skydnc</v>
    <v>Learn more on Bing</v>
  </rv>
  <rv s="3">
    <v>en-IN</v>
    <v>axdbzr</v>
    <v>268435456</v>
    <v>1</v>
    <v>Powered by Refinitiv</v>
    <v>5</v>
    <v>SHARIKA ENTERPRISES LIMITED (XBOM:540786)</v>
    <v>2</v>
    <v>6</v>
    <v>Finance</v>
    <v>7</v>
    <v>16.989999999999998</v>
    <v>6.2</v>
    <v>1.2279</v>
    <v>0.67</v>
    <v>4.9555999999999996E-2</v>
    <v>INR</v>
    <v>Sharika Enterprises Limited is an India-based power transmission and distribution engineering procurement construction (EPC) company. The Company is engaged in engineering procurement construction (EPC) contracts, specialized assembling, trading activities and erection services. The Company’s portfolio includes installing power transmission extra high voltage (EHV) cables, designing and installing energy management system (EMS) and allied distribution automation equipments, such as autoreclosers, fault passage indicators (FPI), designing and installing of solar power generation plants. It also provides consultancy and project management in field of power generation, transmission and distribution. The Company is also engaged in trading of light-emitting diode (LED) lights and accessories, power capacitors, switchgears and cast resin transformers.</v>
    <v>Bombay Stock Exchange</v>
    <v>XBOM</v>
    <v>XBOM</v>
    <v>B-124, Sector-67, NOIDA, UTTAR PRADESH, 201310 IN</v>
    <v>14.19</v>
    <v>Construction &amp; Engineering</v>
    <v>Stock</v>
    <v>44571.405798611115</v>
    <v>9</v>
    <v>14.19</v>
    <v>585416000</v>
    <v>SHARIKA ENTERPRISES LIMITED</v>
    <v>SHARIKA ENTERPRISES LIMITED</v>
    <v>14.19</v>
    <v>27.33</v>
    <v>13.52</v>
    <v>14.19</v>
    <v>43300000</v>
    <v>540786</v>
    <v>SHARIKA ENTERPRISES LIMITED (XBOM:540786)</v>
    <v>284176</v>
    <v>1998</v>
  </rv>
  <rv s="2">
    <v>10</v>
  </rv>
  <rv s="0">
    <v>https://www.bing.com/financeapi/forcetrigger?t=ahi9f2&amp;q=XNSE%3aIFCI&amp;form=skydnc</v>
    <v>Learn more on Bing</v>
  </rv>
  <rv s="1">
    <v>en-IN</v>
    <v>ahi9f2</v>
    <v>268435456</v>
    <v>1</v>
    <v>Powered by Refinitiv</v>
    <v>0</v>
    <v>IFCI LIMITED (XNSE:IFCI)</v>
    <v>2</v>
    <v>3</v>
    <v>Finance</v>
    <v>4</v>
    <v>18.850000000000001</v>
    <v>8.25</v>
    <v>1.2070000000000001</v>
    <v>0.8</v>
    <v>4.8930000000000001E-2</v>
    <v>INR</v>
    <v>IFCI Limited is a non-banking financial company engaged in the business of financing companies. The Company is also engaged in providing other credit granting services. The Company's products and services include financial products and corporate advisory services. Its financial products include Debt Segment and Equity Segment. Its Debt Segment includes products, such as short-term loans, medium-term loans and long-term loans. Its Equity Segment includes investment in initial public offering (IPO), right issue, qualified institutional placement (QIP) and warrants, as well as in the secondary markets for listed companies; strategic investment in unlisted companies, and trading in the secondary market, including equity derivatives. Its corporate advisory services include project consulting, mergers and acquisition, disinvestment/bid process management, corporate restructuring and bidding advisory. The Company also provides infrastructure advisory services and monitoring of public issues.</v>
    <v>195</v>
    <v>National Stock Exchange of India</v>
    <v>XNSE</v>
    <v>XNSE</v>
    <v>IFCI Tower, 61, Nehru Palace, NEW DELHI, DELHI, 110019 IN</v>
    <v>17.55</v>
    <v>Banking Services</v>
    <v>Stock</v>
    <v>44571.406342592592</v>
    <v>12</v>
    <v>16.5</v>
    <v>33386350000</v>
    <v>IFCI LIMITED</v>
    <v>IFCI LIMITED</v>
    <v>16.649999999999999</v>
    <v>0</v>
    <v>16.350000000000001</v>
    <v>17.149999999999999</v>
    <v>2041979000</v>
    <v>IFCI</v>
    <v>IFCI LIMITED (XNSE:IFCI)</v>
    <v>19727915</v>
    <v>1993</v>
  </rv>
  <rv s="2">
    <v>13</v>
  </rv>
  <rv s="0">
    <v>https://www.bing.com/financeapi/forcetrigger?t=ahkia2&amp;q=XNSE%3aURJA&amp;form=skydnc</v>
    <v>Learn more on Bing</v>
  </rv>
  <rv s="1">
    <v>en-IN</v>
    <v>ahkia2</v>
    <v>268435456</v>
    <v>1</v>
    <v>Powered by Refinitiv</v>
    <v>0</v>
    <v>URJA GLOBAL LIMITED (XNSE:URJA)</v>
    <v>2</v>
    <v>3</v>
    <v>Finance</v>
    <v>4</v>
    <v>27.6</v>
    <v>5.0999999999999996</v>
    <v>1.7967</v>
    <v>1.3</v>
    <v>4.9429999999999995E-2</v>
    <v>INR</v>
    <v>Urja Global Limited (Urja) is an India-based company, which is engaged in developing and operating non-renewable and renewable energy. The Company is engaged in design, consultancy, integration, supply, installation, commissioning and maintenance of off-grid and grid connected solar power plants and decentralized solar application. Its products are Urja solar water heater, Urja e-rikshaw battery, Urja Complete Solar LED Street Light, Urja Solar PV Panels, Urja Inverter Battery, Urja Solar Roof Top System, Urja Solar Mini Home Light, Urja Solar Lantern, Urja Solar Battery, Urja LED Bulb and Urja Solar Charge Controller. Its e-rickshaw battery includes Bold 120 ampere-hour (Ah) and Dynamic 100Ah. Its business focus is on segments, such as solar modules, hybrid inverters and batteries. It has various solar projects across India, including its Haryana project, which is of five megawatt (MW); Gujarat project, which is of 100 MW, and Andhra Pradesh project, which is of 100 MW.</v>
    <v>27</v>
    <v>National Stock Exchange of India</v>
    <v>XNSE</v>
    <v>XNSE</v>
    <v>487/63,1ST Floor, National Market, Peeragarhi, NEW DELHI, DELHI, 110087 IN</v>
    <v>27.6</v>
    <v>Electrical Utilities &amp; IPPs</v>
    <v>Stock</v>
    <v>44571.406342592592</v>
    <v>15</v>
    <v>27.6</v>
    <v>13804520000</v>
    <v>URJA GLOBAL LIMITED</v>
    <v>URJA GLOBAL LIMITED</v>
    <v>27.6</v>
    <v>745.04</v>
    <v>26.3</v>
    <v>27.6</v>
    <v>557206000</v>
    <v>URJA</v>
    <v>URJA GLOBAL LIMITED (XNSE:URJA)</v>
    <v>409784</v>
    <v>1992</v>
  </rv>
  <rv s="2">
    <v>16</v>
  </rv>
  <rv s="0">
    <v>https://www.bing.com/financeapi/forcetrigger?t=brazfr&amp;q=XBOM%3a542753&amp;form=skydnc</v>
    <v>Learn more on Bing</v>
  </rv>
  <rv s="4">
    <v>en-IN</v>
    <v>brazfr</v>
    <v>268435456</v>
    <v>1</v>
    <v>Powered by Refinitiv</v>
    <v>8</v>
    <v>SEACOAST SHIPPING SERVICES LIMITED (XBOM:542753)</v>
    <v>2</v>
    <v>9</v>
    <v>Finance</v>
    <v>7</v>
    <v>26.5</v>
    <v>7.77</v>
    <v>-1.1499999999999999</v>
    <v>-5.8080999999999994E-2</v>
    <v>INR</v>
    <v>Seacoast Shipping Services Ltd, formerly Mahaan Impex Ltd is an India-based company. The Company’s principal business activity is wholesale trading of textile and logistics. The Company focuses to carry on the business of export, import, buying, selling and producing all kinds of textile business. It focuses on textile business, including formulation of jute, jute goods, jute cuttings, jute rejections, cotton, cotton textiles, yarn, wool, silk, handicrafts, flax, rayon, nylon and other fibrous materials and man-made fibers.</v>
    <v>Bombay Stock Exchange</v>
    <v>XBOM</v>
    <v>XBOM</v>
    <v>Second Floor, Block-N, Mondeal Retail Park, T.P.No.50, Nr. Rangoli Park, S.G.Highway, Bodakdev, AHMEDABAD, GUJARAT, 380054 IN</v>
    <v>20.8</v>
    <v>Stock</v>
    <v>44571.406319444446</v>
    <v>18</v>
    <v>18.5</v>
    <v>SEACOAST SHIPPING SERVICES LIMITED</v>
    <v>SEACOAST SHIPPING SERVICES LIMITED</v>
    <v>20.5</v>
    <v>19.8</v>
    <v>18.649999999999999</v>
    <v>542753</v>
    <v>SEACOAST SHIPPING SERVICES LIMITED (XBOM:542753)</v>
    <v>2296676</v>
  </rv>
  <rv s="2">
    <v>19</v>
  </rv>
  <rv s="0">
    <v>http://en.wikipedia.org/wiki/Public_domain</v>
    <v>Public domain</v>
  </rv>
  <rv s="0">
    <v>http://en.wikipedia.org/wiki/Hathway</v>
    <v>Wikipedia</v>
  </rv>
  <rv s="5">
    <v>21</v>
    <v>22</v>
  </rv>
  <rv s="6">
    <v>14</v>
    <v>https://www.bing.com/th?id=AMMS_1579e358145f285569d7cd3e54e42975&amp;qlt=95</v>
    <v>23</v>
    <v>0</v>
    <v>https://www.bing.com/images/search?form=xlimg&amp;q=hathway</v>
    <v>Image of HATHWAY CABLE AND DATACOM LIMITED</v>
  </rv>
  <rv s="0">
    <v>https://www.bing.com/financeapi/forcetrigger?t=ahi2pr&amp;q=XNSE%3aHATHWAY&amp;form=skydnc</v>
    <v>Learn more on Bing</v>
  </rv>
  <rv s="7">
    <v>en-IN</v>
    <v>ahi2pr</v>
    <v>268435456</v>
    <v>1</v>
    <v>Powered by Refinitiv</v>
    <v>10</v>
    <v>HATHWAY CABLE AND DATACOM LIMITED (XNSE:HATHWAY)</v>
    <v>12</v>
    <v>13</v>
    <v>Finance</v>
    <v>4</v>
    <v>35.299999999999997</v>
    <v>19.600000000000001</v>
    <v>0.75329999999999997</v>
    <v>0.65</v>
    <v>2.9748E-2</v>
    <v>INR</v>
    <v>Hathway Cable and Datacom Limited is a holding company. The Company is a multi-system operator providing cable television network services, Internet services and allied services. Its product portfolio includes cable television (standard definition and high definition (HD)) services, and broadband services. It offers cable television services in over 200 cities and towns. The Company's local cable channels include Music channel, Hathway CCC, Hathway Shoppe, H-tube, Hathway Life, Hathway Movies and Hathway Entertainment. It also offers HD Personal Video Recorder. It offers broadband Internet services in over 20 cities across India. It offers home broadband and business broadband services. It offers fiber Internet services and multi office connectivity under business broadband. It offers a portal, Hathway Connect, which enables local cable operators to interact with the customers with features, such as pack management, customer prepaid option and mobile application.</v>
    <v>343</v>
    <v>National Stock Exchange of India</v>
    <v>XNSE</v>
    <v>XNSE</v>
    <v>Rahejas 4th Floor, Corner of Main Avenue &amp; V. P. Road, Santacruz (west), MUMBAI, MAHARASHTRA, 400054 IN</v>
    <v>22.7</v>
    <v>24</v>
    <v>Media &amp; Publishing</v>
    <v>Stock</v>
    <v>44571.406307870369</v>
    <v>25</v>
    <v>22.1</v>
    <v>38676790000</v>
    <v>HATHWAY CABLE AND DATACOM LIMITED</v>
    <v>HATHWAY CABLE AND DATACOM LIMITED</v>
    <v>22.4</v>
    <v>19.03</v>
    <v>21.85</v>
    <v>22.5</v>
    <v>1770104000</v>
    <v>HATHWAY</v>
    <v>HATHWAY CABLE AND DATACOM LIMITED (XNSE:HATHWAY)</v>
    <v>7894877</v>
    <v>1959</v>
  </rv>
  <rv s="2">
    <v>26</v>
  </rv>
  <rv s="0">
    <v>https://www.bing.com/financeapi/forcetrigger?t=bxjznm&amp;q=XNSE%3aIRFC&amp;form=skydnc</v>
    <v>Learn more on Bing</v>
  </rv>
  <rv s="8">
    <v>en-IN</v>
    <v>bxjznm</v>
    <v>268435456</v>
    <v>1</v>
    <v>Powered by Refinitiv</v>
    <v>15</v>
    <v>INDIAN RAILWAY FINANCE CORPORATION LIMITED (XNSE:IRFC)</v>
    <v>2</v>
    <v>16</v>
    <v>Finance</v>
    <v>4</v>
    <v>26.7</v>
    <v>20.8</v>
    <v>0.05</v>
    <v>2.1789999999999999E-3</v>
    <v>INR</v>
    <v>Indian Railway Finance Corporation Ltd is an India-based is a financing arm of Indian Railways company. The Company is engaged in borrowing funds from the financial markets to finance the acquisition/ creation of assets which are leased out to the Indian Railways as finance lease. It lends to entities Railway sectors like Rail Vikas Nigam Limited (RVNL), Railtel, Konkan Railway Corporation Limited (KRCL) and Pipavav Railway Corporation Limited (PRCL).</v>
    <v>29</v>
    <v>National Stock Exchange of India</v>
    <v>XNSE</v>
    <v>XNSE</v>
    <v>U G Floor,, East Tower NBCC Place, Bhisham Pitamah Marg, Lodhi Road, NEW DELHI, DELHI, 110003 IN</v>
    <v>23.05</v>
    <v>Banking Services</v>
    <v>Stock</v>
    <v>44571.406365740739</v>
    <v>28</v>
    <v>22.9</v>
    <v>299922200000</v>
    <v>INDIAN RAILWAY FINANCE CORPORATION LIMITED</v>
    <v>INDIAN RAILWAY FINANCE CORPORATION LIMITED</v>
    <v>23.05</v>
    <v>4.87</v>
    <v>22.95</v>
    <v>23</v>
    <v>13068510000</v>
    <v>IRFC</v>
    <v>INDIAN RAILWAY FINANCE CORPORATION LIMITED (XNSE:IRFC)</v>
    <v>7494712</v>
    <v>1986</v>
  </rv>
  <rv s="2">
    <v>29</v>
  </rv>
  <rv s="0">
    <v>https://www.bing.com/financeapi/forcetrigger?t=ahjzmw&amp;q=XNSE%3aSJVN&amp;form=skydnc</v>
    <v>Learn more on Bing</v>
  </rv>
  <rv s="1">
    <v>en-IN</v>
    <v>ahjzmw</v>
    <v>268435456</v>
    <v>1</v>
    <v>Powered by Refinitiv</v>
    <v>0</v>
    <v>SJVN Limited (XNSE:SJVN)</v>
    <v>2</v>
    <v>3</v>
    <v>Finance</v>
    <v>4</v>
    <v>33.75</v>
    <v>24.5</v>
    <v>0.44679999999999997</v>
    <v>1.3</v>
    <v>4.3046000000000001E-2</v>
    <v>INR</v>
    <v>SJVN Limited is primarily engaged in the business of generation and sale of power. The Company operates through Thermal Power segment. The Company is implementing power projects in Himachal Pradesh, Uttarakhand, Bihar, Gujarat, Rajasthan and Arunachal Pradesh in India besides neighboring countries, which include Nepal and Bhutan. The Company operates approximately 1,500 megawatt (MW) Nathpa Jhakri Hydro Power station. Its thermal power project under survey and investigation is Buxar Thermal Power Project. Its wind power project in operation is 47.6 MW Khirvire Wind Power Project. Its solar power projects under survey and investigation include 4,000 MW Ultra Mega Green Solar photovoltaic (PV) Power Project; five MW Solar PV Grid Connected Power Project, and Ultra Mega Hybrid Renewable Energy (Solar and Wind) Park. Its Power Transmission project under development is Power Transmission Project. The installed capacity of the Company is approximately 1,959.6 MW.</v>
    <v>1499</v>
    <v>National Stock Exchange of India</v>
    <v>XNSE</v>
    <v>XNSE</v>
    <v>Shakti Sadan, Corporate Office Complex, Shanan, SHIMLA, HIMACHAL PRADESH, 171006 IN</v>
    <v>32.4</v>
    <v>Electrical Utilities &amp; IPPs</v>
    <v>Stock</v>
    <v>44571.406388888892</v>
    <v>31</v>
    <v>30.65</v>
    <v>118679800000</v>
    <v>SJVN Limited</v>
    <v>SJVN Limited</v>
    <v>30.9</v>
    <v>7.6</v>
    <v>30.2</v>
    <v>31.5</v>
    <v>3929795000</v>
    <v>SJVN</v>
    <v>SJVN Limited (XNSE:SJVN)</v>
    <v>21469524</v>
    <v>1988</v>
  </rv>
  <rv s="2">
    <v>32</v>
  </rv>
  <rv s="0">
    <v>https://www.bing.com/financeapi/forcetrigger?t=ahj6nm&amp;q=XNSE%3aNHPC&amp;form=skydnc</v>
    <v>Learn more on Bing</v>
  </rv>
  <rv s="1">
    <v>en-IN</v>
    <v>ahj6nm</v>
    <v>268435456</v>
    <v>1</v>
    <v>Powered by Refinitiv</v>
    <v>0</v>
    <v>NHPC Limited (XNSE:NHPC)</v>
    <v>2</v>
    <v>3</v>
    <v>Finance</v>
    <v>4</v>
    <v>37.049999999999997</v>
    <v>22.9</v>
    <v>0.46560000000000001</v>
    <v>0.4</v>
    <v>1.2821000000000001E-2</v>
    <v>INR</v>
    <v>NHPC Limited is engaged in electricity generation. The Company is engaged in electric power generation by hydroelectric power plants. The Company is also engaged in contracts, project management and consultancy works. Its power stations include Bairasiul, Salal, Chamera-I, Tanakpur, Dhauliganga, Rangit and Loktak. Its focuses on Teesta Low Dam-IV Hydroelectric Project (160 megawatt), West Bengal; Kishanganga Hydroelectric Project (330 megawatt), Jammu and Kashmir; Parbati- II Hydroelectric Project (800 megawatt), Himachal Pradesh, and Subansiri Lower Hydroelectric Project (2,000 megawatt), Assam/Arunachal Pradesh. It provides consultancy services in various fields of hydropower, including river basin studies, survey works, design and engineering, geological studies, geotechnical studies, hydraulic transient studies, hydrological studies, contract management, construction management, equipment planning, underground construction, testing, commissioning, and operation and maintenance.</v>
    <v>5569</v>
    <v>National Stock Exchange of India</v>
    <v>XNSE</v>
    <v>XNSE</v>
    <v>NHPC Office Complex,, Sector 33., FARIDABAD, HARYANA, 121003 IN</v>
    <v>31.95</v>
    <v>Electrical Utilities &amp; IPPs</v>
    <v>Stock</v>
    <v>44571.406307870369</v>
    <v>34</v>
    <v>31.3</v>
    <v>313405100000</v>
    <v>NHPC Limited</v>
    <v>NHPC Limited</v>
    <v>31.5</v>
    <v>8.85</v>
    <v>31.2</v>
    <v>31.6</v>
    <v>10045040000</v>
    <v>NHPC</v>
    <v>NHPC Limited (XNSE:NHPC)</v>
    <v>3827928</v>
    <v>1975</v>
  </rv>
  <rv s="2">
    <v>35</v>
  </rv>
  <rv s="0">
    <v>https://www.bing.com/financeapi/forcetrigger?t=bppmsm&amp;q=XNSE%3aRVNL&amp;form=skydnc</v>
    <v>Learn more on Bing</v>
  </rv>
  <rv s="8">
    <v>en-IN</v>
    <v>bppmsm</v>
    <v>268435456</v>
    <v>1</v>
    <v>Powered by Refinitiv</v>
    <v>15</v>
    <v>RAIL VIKAS NIGAM LIMITED (XNSE:RVNL)</v>
    <v>2</v>
    <v>16</v>
    <v>Finance</v>
    <v>4</v>
    <v>44.8</v>
    <v>23.6</v>
    <v>0.4</v>
    <v>1.1220000000000001E-2</v>
    <v>INR</v>
    <v>Rail Vikas Nigam Limited (RVNL) is a special purpose vehicle (SPV) engaged in undertaking development projects. The Company is focused on mobilizing financial resources and implement projects pertaining to reinforcement of Golden Quadrilateral. The Company is a non-budgetary initiative for creating and improving rail communication links to ports by construction of bridges and development of multi-modal transport corridors. The company has implemented various rail infrastructure projects, which include Gooty - Renigunta patch doubling; Gandhidham - Palanpur gauge conversion; Vallaparpadm - Idapally new lines; Ranigunta - Guntakal railway electrification; Civil Engineering Works in connection with diesel loco component factory, Dankuni and Kharagpur Workshop. It is also involved in development and implementation of various Metro rail link projects.</v>
    <v>208</v>
    <v>National Stock Exchange of India</v>
    <v>XNSE</v>
    <v>XNSE</v>
    <v>August Kranti Bhawan, Bhikaji Cama Place, R. K. Puram, Plot No. 25, First Floor, NEW DELHI, DELHI, 110066 IN</v>
    <v>36.200000000000003</v>
    <v>Construction &amp; Engineering</v>
    <v>Stock</v>
    <v>44571.406377314815</v>
    <v>37</v>
    <v>35.6</v>
    <v>74330960000</v>
    <v>RAIL VIKAS NIGAM LIMITED</v>
    <v>RAIL VIKAS NIGAM LIMITED</v>
    <v>35.85</v>
    <v>6.72</v>
    <v>35.65</v>
    <v>36.049999999999997</v>
    <v>2085020000</v>
    <v>RVNL</v>
    <v>RAIL VIKAS NIGAM LIMITED (XNSE:RVNL)</v>
    <v>3542304</v>
    <v>2003</v>
  </rv>
  <rv s="2">
    <v>38</v>
  </rv>
  <rv s="0">
    <v>https://www.bing.com/financeapi/forcetrigger?t=ahi7p2&amp;q=XNSE%3aHUDCO&amp;form=skydnc</v>
    <v>Learn more on Bing</v>
  </rv>
  <rv s="1">
    <v>en-IN</v>
    <v>ahi7p2</v>
    <v>268435456</v>
    <v>1</v>
    <v>Powered by Refinitiv</v>
    <v>0</v>
    <v>HOUSING AND URBAN DEVELOPMENT CORPORATION LIMITED (XNSE:HUDCO)</v>
    <v>2</v>
    <v>3</v>
    <v>Finance</v>
    <v>4</v>
    <v>58.25</v>
    <v>37.85</v>
    <v>1.5805</v>
    <v>0.55000000000000004</v>
    <v>1.3349999999999999E-2</v>
    <v>INR</v>
    <v>Housing And Urban Development Corporation Limited is an India-based techno‐financing company. The Company provides long term finance for construction of houses for residential purposes or finance or undertakes housing and urban development programs in the country. It finances or undertakes, wholly or partly, the setting up of the new or satellite towns and industrial enterprises of building material. The Company promotes, establishes, assists, collaborates and provides consultancy services for the projects and engages in designing and planning of works relating to its programs in India and abroad. Its consultancy assistance covers architectural, planning and engineering fields, such as housing designs, development plans, master plans, heritage protection/preservation plans, city development plans, feasibility studies, etc.</v>
    <v>753</v>
    <v>National Stock Exchange of India</v>
    <v>XNSE</v>
    <v>XNSE</v>
    <v>HUDCO Bhawan, Core-7-A,, India Habitat Centre, Lodhi Road,, NEW DELHI, DELHI, 110003 IN</v>
    <v>42.35</v>
    <v>Banking Services</v>
    <v>Stock</v>
    <v>44571.406365740739</v>
    <v>40</v>
    <v>41.3</v>
    <v>82478280000</v>
    <v>HOUSING AND URBAN DEVELOPMENT CORPORATION LIMITED</v>
    <v>HOUSING AND URBAN DEVELOPMENT CORPORATION LIMITED</v>
    <v>41.45</v>
    <v>4.87</v>
    <v>41.2</v>
    <v>41.75</v>
    <v>2001900000</v>
    <v>HUDCO</v>
    <v>HOUSING AND URBAN DEVELOPMENT CORPORATION LIMITED (XNSE:HUDCO)</v>
    <v>2198194</v>
    <v>1970</v>
  </rv>
  <rv s="2">
    <v>41</v>
  </rv>
  <rv s="0">
    <v>https://www.bing.com/financeapi/forcetrigger?t=ahhxk2&amp;q=XNSE%3aGOKUL&amp;form=skydnc</v>
    <v>Learn more on Bing</v>
  </rv>
  <rv s="1">
    <v>en-IN</v>
    <v>ahhxk2</v>
    <v>268435456</v>
    <v>1</v>
    <v>Powered by Refinitiv</v>
    <v>0</v>
    <v>GOKUL REFOILS AND SOLVENT LIMITED (XNSE:GOKUL)</v>
    <v>2</v>
    <v>3</v>
    <v>Finance</v>
    <v>4</v>
    <v>47.8</v>
    <v>16.350000000000001</v>
    <v>1.3776999999999999</v>
    <v>0.45</v>
    <v>1.0740000000000001E-2</v>
    <v>INR</v>
    <v>Gokul Refoils and Solvent Limited is engaged primarily in the business of processing and refining of crude oil for edible use. The Company is engaged in manufacturing edible oils/non edible oils and by product, vanaspati, de oiled cake/oil cake. It is also engaged in trading in agro products and generation of power for captive use. The Company operates through Agro based commodities segment. It offers a range of agro-based commodities, including soyabean, Palmolive, cotton seed oil, sun flower oil, palm oil, soya bean oil, ground nut oil, vanaspati ghee, mustard seed oil, castor oil, oil seeds and other agro-commodities, which have similar production process. It offers edible oil under Gokul brand. The Company supplies products to the United States, South Korea, European Union, China, Singapore, Indonesia, Malaysia and Vietnam. The Company owns approximately four production plants in the states of Gujarat and West Bengal in India.</v>
    <v>478</v>
    <v>National Stock Exchange of India</v>
    <v>XNSE</v>
    <v>XNSE</v>
    <v>Gokul House, 43, Shreemali CHSL,, Opp. Shikhar Building, Navrangpura,, AHMEDABAD, GUJARAT, 380009 IN</v>
    <v>43.4</v>
    <v>Food &amp; Tobacco</v>
    <v>Stock</v>
    <v>44571.406342592592</v>
    <v>43</v>
    <v>41.85</v>
    <v>4147891000</v>
    <v>GOKUL REFOILS AND SOLVENT LIMITED</v>
    <v>GOKUL REFOILS AND SOLVENT LIMITED</v>
    <v>42.4</v>
    <v>16.96</v>
    <v>41.9</v>
    <v>42.35</v>
    <v>98995000</v>
    <v>GOKUL</v>
    <v>GOKUL REFOILS AND SOLVENT LIMITED (XNSE:GOKUL)</v>
    <v>524523</v>
    <v>1992</v>
  </rv>
  <rv s="2">
    <v>44</v>
  </rv>
  <rv s="0">
    <v>https://www.bing.com/financeapi/forcetrigger?t=ahkhjc&amp;q=XNSE%3aUNIONBANK&amp;form=skydnc</v>
    <v>Learn more on Bing</v>
  </rv>
  <rv s="1">
    <v>en-IN</v>
    <v>ahkhjc</v>
    <v>268435456</v>
    <v>1</v>
    <v>Powered by Refinitiv</v>
    <v>0</v>
    <v>UNION BANK OF INDIA LIMITED (XNSE:UNIONBANK)</v>
    <v>2</v>
    <v>3</v>
    <v>Finance</v>
    <v>4</v>
    <v>54.8</v>
    <v>29.2</v>
    <v>1.3768</v>
    <v>0.85</v>
    <v>1.8805000000000002E-2</v>
    <v>INR</v>
    <v>Union Bank of India is an India-based bank engaged in providing banking and financial services to its customers. The Bank offers products and services in three categories: Deposits, Loans and Advances, and Remittances and Collections. Its segments include Treasury operations, Corporate and Wholesale Banking, Retail Banking operations and Other Banking operations. The treasury division is engaged in domestic treasury operations, forex operations, fixed income, derivative products, equity and other alternate asset classes. The Bank offers Internet banking, mobile banking and cash management services. The Bank offers its products and services for micro, small and medium enterprises (MSMEs). The Bank offers retail loans schemes for home loans, auto loans, educational loans and others. The Bank also offers various types of deposits, such as current, savings and term deposits. The Bank has a branch network of over 4,200 branches across the county and approximately four branches abroad.</v>
    <v>78202</v>
    <v>National Stock Exchange of India</v>
    <v>XNSE</v>
    <v>XNSE</v>
    <v>Union Bank Bhavan, 239, Vidhan Bhavan Marg, Nariman Point, MUMBAI, MAHARASHTRA, 400021 IN</v>
    <v>46.4</v>
    <v>Banking Services</v>
    <v>Stock</v>
    <v>44571.406319444446</v>
    <v>46</v>
    <v>45.2</v>
    <v>308930600000</v>
    <v>UNION BANK OF INDIA LIMITED</v>
    <v>UNION BANK OF INDIA LIMITED</v>
    <v>45.2</v>
    <v>6.41</v>
    <v>45.2</v>
    <v>46.05</v>
    <v>6834748000</v>
    <v>UNIONBANK</v>
    <v>UNION BANK OF INDIA LIMITED (XNSE:UNIONBANK)</v>
    <v>7878788</v>
    <v>1919</v>
  </rv>
  <rv s="2">
    <v>47</v>
  </rv>
  <rv s="0">
    <v>https://www.bing.com/financeapi/forcetrigger?t=ahj2f2&amp;q=XNSE%3aMRPL&amp;form=skydnc</v>
    <v>Learn more on Bing</v>
  </rv>
  <rv s="1">
    <v>en-IN</v>
    <v>ahj2f2</v>
    <v>268435456</v>
    <v>1</v>
    <v>Powered by Refinitiv</v>
    <v>0</v>
    <v>MANGALORE REFINERY AND PETROCHEMICALS LIMITED (XNSE:MRPL)</v>
    <v>2</v>
    <v>3</v>
    <v>Finance</v>
    <v>4</v>
    <v>57.8</v>
    <v>33.799999999999997</v>
    <v>1.5039</v>
    <v>-0.1</v>
    <v>-2.225E-3</v>
    <v>INR</v>
    <v>Mangalore Refinery and Petrochemicals Limited is a holding company .The Company is engaged in the business of refinery and manufacturing of refined petroleum products. Its segments include Domestic Sale and Export Sale. The Company is involved in the production of liquid or gaseous fuels, illuminating oils, lubricating oils or greases or other products from crude petroleum, and manufacture of other petroleum products, such as bitumen. Its products include pet coke, liquefied petroleum gas, fuel gas, mixed xylene, high speed diesel (HSD), vacuum gas oil (VGO) and automatic transmission fluid (ATF). It operates retail outlets under the HiQ brand. It has design capacity to process approximately 15 million metric tons per annum and over two hydrocrackers producing diesel. It has over two catalytic reformers producing unleaded petrol of high octane. It offers petroleum and petrochemical products to consumers in various industries, such as mining, power, agriculture, fertilizers and paint.</v>
    <v>1939</v>
    <v>National Stock Exchange of India</v>
    <v>XNSE</v>
    <v>XNSE</v>
    <v>Core - 8 , 7th Floor,, Scope Complex , Lodhi Road, NEW DELHI, DELHI IN</v>
    <v>45.6</v>
    <v>Oil &amp; Gas</v>
    <v>Stock</v>
    <v>44571.406331018516</v>
    <v>49</v>
    <v>44.7</v>
    <v>78779310000</v>
    <v>MANGALORE REFINERY AND PETROCHEMICALS LIMITED</v>
    <v>MANGALORE REFINERY AND PETROCHEMICALS LIMITED</v>
    <v>45.5</v>
    <v>0</v>
    <v>44.95</v>
    <v>44.85</v>
    <v>1752599000</v>
    <v>MRPL</v>
    <v>MANGALORE REFINERY AND PETROCHEMICALS LIMITED (XNSE:MRPL)</v>
    <v>1264509</v>
    <v>1988</v>
  </rv>
  <rv s="2">
    <v>50</v>
  </rv>
  <rv s="0">
    <v>https://www.bing.com/financeapi/forcetrigger?t=ahkftc&amp;q=XNSE%3aTV18BRDCST&amp;form=skydnc</v>
    <v>Learn more on Bing</v>
  </rv>
  <rv s="1">
    <v>en-IN</v>
    <v>ahkftc</v>
    <v>268435456</v>
    <v>1</v>
    <v>Powered by Refinitiv</v>
    <v>0</v>
    <v>TV18 Broadcast Limited (XNSE:TV18BRDCST)</v>
    <v>2</v>
    <v>3</v>
    <v>Finance</v>
    <v>4</v>
    <v>55.8</v>
    <v>26.25</v>
    <v>1.1068</v>
    <v>0.5</v>
    <v>1.0834E-2</v>
    <v>INR</v>
    <v>TV18 Broadcast Limited, formerly ibn18 Broadcast Limited, is engaged in television broadcasting networks. The Company operates news channels, such as CNBC-TV18, CNBCAwaaz, CNBC Bajar, CNBC-TV18 Prime HD, CNN-News18, News18, IBN7 and IBN-Lokmat. The Company operates 10 regional news channels, including ETV Urdu, ETV Rajasthan, ETV Bihar Jharkhand, ETV MP Chattisgarh, ETV UP Uttarakhand, ETV Haryana Himachal Pradesh, ETV Bangla, ETV Karnataka, ETV Gujarati, and ETV Odiya. The Company has a joint venture with Viacom Inc. called Viacom18, which operates a range of entertainment channels, such as Colors, Colors HD, Indies, Comedy Central, Vh1, Nickelodeon, Nick HD+, Sonic and Nick Jr./Teen Nick channels, and five regional channels, including Colors Kannada, Colors Bangla, Colors Marathi, Colors Oriya and Colors Gujarati. The Company also has a joint venture with Forward A+E Networks, which operates History TV18, a factual entertainment channel.</v>
    <v>3891</v>
    <v>National Stock Exchange of India</v>
    <v>XNSE</v>
    <v>XNSE</v>
    <v>Express Corporate Park,, Plot No.-15&amp;16, Sector-16A,, NOIDA, UTTAR PRADESH, 201301 IN</v>
    <v>47.1</v>
    <v>Media &amp; Publishing</v>
    <v>Stock</v>
    <v>44571.406365740739</v>
    <v>52</v>
    <v>46.3</v>
    <v>79117720000</v>
    <v>TV18 Broadcast Limited</v>
    <v>TV18 Broadcast Limited</v>
    <v>46.65</v>
    <v>12.75</v>
    <v>46.15</v>
    <v>46.65</v>
    <v>1714360000</v>
    <v>TV18BRDCST</v>
    <v>TV18 Broadcast Limited (XNSE:TV18BRDCST)</v>
    <v>4432668</v>
    <v>2005</v>
  </rv>
  <rv s="2">
    <v>53</v>
  </rv>
  <rv s="0">
    <v>https://www.bing.com/financeapi/forcetrigger?t=ahizp2&amp;q=XNSE%3aMMTC&amp;form=skydnc</v>
    <v>Learn more on Bing</v>
  </rv>
  <rv s="1">
    <v>en-IN</v>
    <v>ahizp2</v>
    <v>268435456</v>
    <v>1</v>
    <v>Powered by Refinitiv</v>
    <v>0</v>
    <v>MMTC LIMITED (XNSE:MMTC)</v>
    <v>2</v>
    <v>3</v>
    <v>Finance</v>
    <v>4</v>
    <v>63.95</v>
    <v>26.65</v>
    <v>1.4300999999999999</v>
    <v>1</v>
    <v>2.2523000000000001E-2</v>
    <v>INR</v>
    <v>MMTC Limited is a trading company. The Company's segments include Precious Metals, Metals, Minerals, Coal &amp; Hydrocarbon, Agro Products, Fertilizers and General Trade/Others. The Company is involved in the import of gold, silver, platinum, palladium, rough diamonds, emeralds, rubies and other semi-precious stones. The Company has retail jewelry and its own branded Sterling Silverware (Sanchi) showrooms in various metro cities of India. It also supplies branded hallmarked gold and studded jewelry. The Company sells imported non-ferrous metals, such as copper, aluminum, zinc, lead, tin and nickel. It also sells imported minor metals, such as magnesium, antimony, silicon and mercury, and also industrial raw materials, including asbestos. It exports and imports agro products. It sells and imports fertilizers and fertilizer raw materials. The Company also operates an approximately 15 megawatt wind mill project located in Karnataka. The Company's subsidiary is MMTC Transnational Pte. Ltd.</v>
    <v>702</v>
    <v>National Stock Exchange of India</v>
    <v>XNSE</v>
    <v>XNSE</v>
    <v>Core -1, SCOPE COMPLEX, 7 Institutional Area, Lodhi Road, NEW DELHI, DELHI, 110003 IN</v>
    <v>46.15</v>
    <v>Metals &amp; Mining</v>
    <v>Stock</v>
    <v>44571.406307870369</v>
    <v>55</v>
    <v>44.6</v>
    <v>66600000000</v>
    <v>MMTC LIMITED</v>
    <v>MMTC LIMITED</v>
    <v>44.75</v>
    <v>0</v>
    <v>44.4</v>
    <v>45.4</v>
    <v>1500000000</v>
    <v>MMTC</v>
    <v>MMTC LIMITED (XNSE:MMTC)</v>
    <v>2287543</v>
    <v>1963</v>
  </rv>
  <rv s="2">
    <v>56</v>
  </rv>
  <rv s="0">
    <v>https://www.bing.com/financeapi/forcetrigger?t=bju4qh&amp;q=XNSE%3aIRCON&amp;form=skydnc</v>
    <v>Learn more on Bing</v>
  </rv>
  <rv s="1">
    <v>en-IN</v>
    <v>bju4qh</v>
    <v>268435456</v>
    <v>1</v>
    <v>Powered by Refinitiv</v>
    <v>0</v>
    <v>Ircon International Ltd (XNSE:IRCON)</v>
    <v>2</v>
    <v>3</v>
    <v>Finance</v>
    <v>4</v>
    <v>54.25</v>
    <v>39.68</v>
    <v>0.92149999999999999</v>
    <v>0.65</v>
    <v>1.4054000000000001E-2</v>
    <v>INR</v>
    <v>Ircon International Limited is an India-based integrated engineering and construction company. The Company serves railways, highways, bridges, flyovers, tunnels, metro, aircraft maintenance hangars, runways, EHV sub-stations, electrical and mechanical works, commercial and residential buildings, development of industrial areas, amongst others. It offers engineering procurement and construction (EPC) services for various infrastructure projects. In addition to this, the Company also executes projects on Build, Operate and Transfer (BOT) mode and Hybrid Annuity Mode (HAM).</v>
    <v>1298</v>
    <v>National Stock Exchange of India</v>
    <v>XNSE</v>
    <v>XNSE</v>
    <v>C-4, District Centre,, Saket, NEW DELHI, DELHI, 110017 IN</v>
    <v>47.05</v>
    <v>Construction &amp; Engineering</v>
    <v>Stock</v>
    <v>44571.406377314815</v>
    <v>58</v>
    <v>46.5</v>
    <v>43498850000</v>
    <v>Ircon International Ltd</v>
    <v>Ircon International Ltd</v>
    <v>46.95</v>
    <v>10.8</v>
    <v>46.25</v>
    <v>46.9</v>
    <v>940515700</v>
    <v>IRCON</v>
    <v>Ircon International Ltd (XNSE:IRCON)</v>
    <v>1485449</v>
    <v>1976</v>
  </rv>
  <rv s="2">
    <v>59</v>
  </rv>
  <rv s="0">
    <v>https://www.bing.com/financeapi/forcetrigger?t=azlv5r&amp;q=XNSE%3aLEMONTREE&amp;form=skydnc</v>
    <v>Learn more on Bing</v>
  </rv>
  <rv s="1">
    <v>en-IN</v>
    <v>azlv5r</v>
    <v>268435456</v>
    <v>1</v>
    <v>Powered by Refinitiv</v>
    <v>0</v>
    <v>LEMON TREE HOTELS LIMITED (XNSE:LEMONTREE)</v>
    <v>2</v>
    <v>3</v>
    <v>Finance</v>
    <v>4</v>
    <v>59.9</v>
    <v>27</v>
    <v>1.4348000000000001</v>
    <v>-0.1</v>
    <v>-2.0920000000000001E-3</v>
    <v>INR</v>
    <v>Lemon Tree Hotels Ltd is an India-based company, which operates a chain of upscale business and leisure hotels. The Company is engaged in acquiring land, building, leasing, owning, managing and marketing hotels. The Company offers three brands across various levels, that include Aurika Hotels and Resorts in Upscale; Lemon Tree Premier and Keys Prima in the upper midscale segment; Lemon Tree Hotels and Keys Select, in the midscale segment; and Red Fox Hotels and Keys Lite by Lemon Tree Hotels in the economy segment. Lemon Tree hotels are located across India, in metro regions, including the Mumbai, Bengaluru, Kolkata, Hyderabad and Chennai, as well as tier I and tier II cities such as Pune, Ahmedabad, Chandigarh, Jaipur, Udaipur, Indore, Vijaywada and Aurangabad.</v>
    <v>5177</v>
    <v>National Stock Exchange of India</v>
    <v>XNSE</v>
    <v>XNSE</v>
    <v>Asset No. 6, Aerocity Hospitality District, IGI Airport, NEW DELHI, DELHI, 110037 IN</v>
    <v>48.45</v>
    <v>Hotels &amp; Entertainment Services</v>
    <v>Stock</v>
    <v>44571.406354166669</v>
    <v>61</v>
    <v>47.5</v>
    <v>37789590000</v>
    <v>LEMON TREE HOTELS LIMITED</v>
    <v>LEMON TREE HOTELS LIMITED</v>
    <v>48.3</v>
    <v>0</v>
    <v>47.8</v>
    <v>47.7</v>
    <v>790577100</v>
    <v>LEMONTREE</v>
    <v>LEMON TREE HOTELS LIMITED (XNSE:LEMONTREE)</v>
    <v>1541124</v>
    <v>1992</v>
  </rv>
  <rv s="2">
    <v>62</v>
  </rv>
  <rv s="0">
    <v>https://www.bing.com/financeapi/forcetrigger?t=ahi8oc&amp;q=XNSE%3aIDBI&amp;form=skydnc</v>
    <v>Learn more on Bing</v>
  </rv>
  <rv s="1">
    <v>en-IN</v>
    <v>ahi8oc</v>
    <v>268435456</v>
    <v>1</v>
    <v>Powered by Refinitiv</v>
    <v>0</v>
    <v>IDBI Bank Limited (XNSE:IDBI)</v>
    <v>2</v>
    <v>3</v>
    <v>Finance</v>
    <v>4</v>
    <v>65.25</v>
    <v>26.35</v>
    <v>1.429</v>
    <v>1.55</v>
    <v>3.0845999999999998E-2</v>
    <v>INR</v>
    <v>IDBI Bank Limited offers monetary intermediation of commercial banks, saving banks, postal savings bank and discount houses. The Company provides personalized banking and financial solutions to its clients. Its segments include wholesale banking, retail banking and treasury services. The corporate/wholesale banking segment includes corporate relationship covering deposit and credit activities other than retail. The retail banking segment includes credit and deposit activities that are oriented towards individuals and small business, including Priority sector lending. The Retail Banking segment also encompasses payment and alternate channels, such as automated teller machines (ATMs), point of sale (POS) machines, Internet Banking, mobile Banking, third party distribution and transaction banking services. Its treasury services segment includes trading portfolio of investments, money market operations, derivative trading, and foreign exchange operations on the account and for customers.</v>
    <v>17319</v>
    <v>National Stock Exchange of India</v>
    <v>XNSE</v>
    <v>XNSE</v>
    <v>22nd floor, IDBI Tower, WTC Complex, Cuffe Parade,, MUMBAI, MAHARASHTRA, 400005 IN</v>
    <v>52.7</v>
    <v>Banking Services</v>
    <v>Stock</v>
    <v>44571.406365740739</v>
    <v>64</v>
    <v>49.8</v>
    <v>540308200000</v>
    <v>IDBI Bank Limited</v>
    <v>IDBI Bank Limited</v>
    <v>50.6</v>
    <v>24.19</v>
    <v>50.25</v>
    <v>51.8</v>
    <v>10752400000</v>
    <v>IDBI</v>
    <v>IDBI Bank Limited (XNSE:IDBI)</v>
    <v>13052889</v>
    <v>2004</v>
  </rv>
  <rv s="2">
    <v>65</v>
  </rv>
  <rv s="0">
    <v>https://www.bing.com/financeapi/forcetrigger?t=ahj6hw&amp;q=XNSE%3aNFL&amp;form=skydnc</v>
    <v>Learn more on Bing</v>
  </rv>
  <rv s="1">
    <v>en-IN</v>
    <v>ahj6hw</v>
    <v>268435456</v>
    <v>1</v>
    <v>Powered by Refinitiv</v>
    <v>0</v>
    <v>NATIONAL FERTILIZERS LIMITED (XNSE:NFL)</v>
    <v>2</v>
    <v>3</v>
    <v>Finance</v>
    <v>4</v>
    <v>73.7</v>
    <v>37.4</v>
    <v>1.4059999999999999</v>
    <v>0.7</v>
    <v>1.2658000000000001E-2</v>
    <v>INR</v>
    <v>National Fertilizers Limited (NFL) is an India-based company engaged in producing and marketing urea, neem coated urea, bio-fertilizers (solid and liquid) and other allied industrial products. The Company's business segments are Urea and Other Products, including industrial products, bio fertilizers and traded products. It offers allied industrial products, such as nitric acid, ammonium nitrate, and sodium nitrite or nitrate. The Company provides three types of bio-fertilizers, including phosphate solubilizing bacteria (PSB), rhizobium and azotobacter. It is involved in trading and selling of fertilizers, such as diammonium phosphate and bentonite sulfur, various other agro-inputs, including certified seeds, and agro-chemicals, such as compost, insecticides and herbicides. It has a multiplication program for production of seeds for wheat, soybean, paddy and others for sale under the Company's brand. Total annual urea installed capacity of the Company is 35.68 lakh metric tons.</v>
    <v>3213</v>
    <v>National Stock Exchange of India</v>
    <v>XNSE</v>
    <v>XNSE</v>
    <v>A-11, Sector - 24, Gautam Budh Nagar, NOIDA, UTTAR PRADESH, 201301 IN</v>
    <v>56.9</v>
    <v>Chemicals</v>
    <v>Stock</v>
    <v>44571.406365740739</v>
    <v>67</v>
    <v>55.3</v>
    <v>27128990000</v>
    <v>NATIONAL FERTILIZERS LIMITED</v>
    <v>NATIONAL FERTILIZERS LIMITED</v>
    <v>55.3</v>
    <v>0</v>
    <v>55.3</v>
    <v>56</v>
    <v>490578400</v>
    <v>NFL</v>
    <v>NATIONAL FERTILIZERS LIMITED (XNSE:NFL)</v>
    <v>633857</v>
    <v>1974</v>
  </rv>
  <rv s="2">
    <v>68</v>
  </rv>
  <rv s="0">
    <v>https://www.bing.com/financeapi/forcetrigger?t=ahkezr&amp;q=XNSE%3aTRIDENT&amp;form=skydnc</v>
    <v>Learn more on Bing</v>
  </rv>
  <rv s="1">
    <v>en-IN</v>
    <v>ahkezr</v>
    <v>268435456</v>
    <v>1</v>
    <v>Powered by Refinitiv</v>
    <v>0</v>
    <v>TRIDENT LIMITED (XNSE:TRIDENT)</v>
    <v>2</v>
    <v>3</v>
    <v>Finance</v>
    <v>4</v>
    <v>59.9</v>
    <v>11.15</v>
    <v>0.97360000000000002</v>
    <v>0.35</v>
    <v>6.5910000000000005E-3</v>
    <v>INR</v>
    <v>Trident Limited is a terry towel, yarn and wheat straw-based paper manufacturer. The Company's segments include Textiles, Paper and Chemical/Chemicals, and Others. The Company's geographical segments include USA and Rest of the world. The Textiles segment includes yarn, towel, bed sheets and dyed yarn manufacturing (including utility service). The Paper and Chemical/Chemicals segment includes paper and sulfuric acid (including utility service). The Others segment includes sale of software and related services. The Company's product portfolio includes solid bath ensembles, beach towels, embroidered towels, bath mats, bathrobes, printed bed linen, duvets, duvet covers, cushion covers, viscose blended yarn, core spun yarn, bamboo/cotton yarn, dyed bed linen set, micro modal/cotton blended yarn, drawing paper, and Bible and offset print paper. Its brands include Trident Spectra, Trident My Choice and Trident Natural. It has manufacturing facilities in Punjab and Madhya Pradesh.</v>
    <v>16111</v>
    <v>National Stock Exchange of India</v>
    <v>XNSE</v>
    <v>XNSE</v>
    <v>E-212, Kitchlu Nagar, LUDHIANA, PUNJAB, 141001 IN</v>
    <v>53.95</v>
    <v>Textiles &amp; Apparel</v>
    <v>Stock</v>
    <v>44571.406377314815</v>
    <v>70</v>
    <v>53.15</v>
    <v>265399500000</v>
    <v>TRIDENT LIMITED</v>
    <v>TRIDENT LIMITED</v>
    <v>53.95</v>
    <v>42.76</v>
    <v>53.1</v>
    <v>53.45</v>
    <v>4998107000</v>
    <v>TRIDENT</v>
    <v>TRIDENT LIMITED (XNSE:TRIDENT)</v>
    <v>10165017</v>
    <v>1990</v>
  </rv>
  <rv s="2">
    <v>71</v>
  </rv>
  <rv s="0">
    <v>https://www.bing.com/financeapi/forcetrigger?t=ahk2ww&amp;q=XNSE%3aSPIC&amp;form=skydnc</v>
    <v>Learn more on Bing</v>
  </rv>
  <rv s="1">
    <v>en-IN</v>
    <v>ahk2ww</v>
    <v>268435456</v>
    <v>1</v>
    <v>Powered by Refinitiv</v>
    <v>0</v>
    <v>SOUTHERN PETROCHEMICAL INDUSTRIES CORPORATION LIMITED (XNSE:SPIC)</v>
    <v>2</v>
    <v>3</v>
    <v>Finance</v>
    <v>4</v>
    <v>68.45</v>
    <v>22.05</v>
    <v>1.6116999999999999</v>
    <v>0</v>
    <v>0</v>
    <v>INR</v>
    <v>Southern Petrochemical Industries Corporation Limited is engaged in manufacturing and selling of urea, a nitrogenous chemical fertilizer. The Company's segments include Agro inputs, Petrochemicals and Others. The Agro inputs segment includes fertilizers. The Petrochemicals segment includes Polyester Filament Yarn and Purified Terepthalic Acid. The Others segment includes tissue culture, seeds, chemicals and power. The Company's geographical segments include Sales within India, which includes sales to customers located within India, and Sales outside India, which includes sales to customers located outside India. Its products include Chemical Fertilizers, Water Soluble Fertilizers, Organic Fertilizers, Micro Nutrients and Plant Growth Regulators. The Company also offers Industrial Products, including SPIC Gypsum, SPIC ALF-96 (Aluminium Fluoride) and SPIC Silica. The Company is engaged in handling, packaging, transporting and sale of imported fertilizers at Karaikal and Tuticorin Ports.</v>
    <v>636</v>
    <v>National Stock Exchange of India</v>
    <v>XNSE</v>
    <v>XNSE</v>
    <v>SPIC House, 88 Mount Road, Guindy, CHENNAI, TAMIL NADU, 600032 IN</v>
    <v>55.85</v>
    <v>Chemicals</v>
    <v>Stock</v>
    <v>44571.406365740739</v>
    <v>73</v>
    <v>55</v>
    <v>11230760000</v>
    <v>SOUTHERN PETROCHEMICAL INDUSTRIES CORPORATION LIMITED</v>
    <v>SOUTHERN PETROCHEMICAL INDUSTRIES CORPORATION LIMITED</v>
    <v>55.15</v>
    <v>6.73</v>
    <v>55.15</v>
    <v>55.15</v>
    <v>203640300</v>
    <v>SPIC</v>
    <v>SOUTHERN PETROCHEMICAL INDUSTRIES CORPORATION LIMITED (XNSE:SPIC)</v>
    <v>464671</v>
    <v>1969</v>
  </rv>
  <rv s="2">
    <v>74</v>
  </rv>
  <rv s="0">
    <v>https://www.bing.com/financeapi/forcetrigger?t=ahh7cw&amp;q=XNSE%3aBHEL&amp;form=skydnc</v>
    <v>Learn more on Bing</v>
  </rv>
  <rv s="1">
    <v>en-IN</v>
    <v>ahh7cw</v>
    <v>268435456</v>
    <v>1</v>
    <v>Powered by Refinitiv</v>
    <v>0</v>
    <v>BHARAT HEAVY ELECTRICALS LIMITED (XNSE:BHEL)</v>
    <v>2</v>
    <v>3</v>
    <v>Finance</v>
    <v>4</v>
    <v>80.349999999999994</v>
    <v>35.1</v>
    <v>1.5376000000000001</v>
    <v>3.1</v>
    <v>5.2100999999999995E-2</v>
    <v>INR</v>
    <v>Bharat Heavy Electricals Limited (BHEL) is an engineering and manufacturing company. The Company is an integrated power plant equipment manufacturer, which is engaged in the designing, engineering, manufacturing, constructing, testing, commissioning and servicing a range of products and services for various sectors, such as power, transmission, industry, transportation, renewable energy, oil and gas, and defense. It operates in two segments: Power and Industry. In its Industry segment, BHEL provides a portfolio of products, systems and services for power plants, power utilities, oil and gas, metallurgical and mining, and process industries, such as cement, fertilizers, sugar and paper. In its Power segment, BHEL supplies steam turbines, generators, boilers and its auxiliaries approximately 1,000 Megawatt (MW); Supplies hydro turbines and generators of approximately 250MW, and Manufactures 220/235/540/550/700MW nuclear turbine generator sets.</v>
    <v>32131</v>
    <v>National Stock Exchange of India</v>
    <v>XNSE</v>
    <v>XNSE</v>
    <v>BHEL House, 4th Floor, Siri Fort Road, Asiad, NEW DELHI, DELHI, 110049 IN</v>
    <v>62.9</v>
    <v>Machinery, Equipment &amp; Components</v>
    <v>Stock</v>
    <v>44571.406365740739</v>
    <v>76</v>
    <v>59.7</v>
    <v>207182800000</v>
    <v>BHARAT HEAVY ELECTRICALS LIMITED</v>
    <v>BHARAT HEAVY ELECTRICALS LIMITED</v>
    <v>59.8</v>
    <v>0</v>
    <v>59.5</v>
    <v>62.6</v>
    <v>3482063000</v>
    <v>BHEL</v>
    <v>BHARAT HEAVY ELECTRICALS LIMITED (XNSE:BHEL)</v>
    <v>41203790</v>
    <v>1964</v>
  </rv>
  <rv s="2">
    <v>77</v>
  </rv>
  <rv s="0">
    <v>https://www.bing.com/financeapi/forcetrigger?t=ahj827&amp;q=XNSE%3aNLCINDIA&amp;form=skydnc</v>
    <v>Learn more on Bing</v>
  </rv>
  <rv s="1">
    <v>en-IN</v>
    <v>ahj827</v>
    <v>268435456</v>
    <v>1</v>
    <v>Powered by Refinitiv</v>
    <v>0</v>
    <v>NLC INDIA LIMITED (XNSE:NLCINDIA)</v>
    <v>2</v>
    <v>3</v>
    <v>Finance</v>
    <v>4</v>
    <v>80.099999999999994</v>
    <v>46.2</v>
    <v>0.87209999999999999</v>
    <v>0.25</v>
    <v>3.9870000000000001E-3</v>
    <v>INR</v>
    <v>NLC India Limited, formerly Neyveli Lignite Corporation Limited, is engaged in the power business. The Company's segments are Lignite Mining and Power Generation. It is operating approximately four lignite mines, including over three lignite mines at Neyveli, Tamil Nadu and approximately one lignite mine at Barsingsar in the State of Rajasthan with a total capacity of over 30.60 metric tons per annum (MTPA). It is operating over four Thermal Power Stations at Neyveli, Tamil Nadu and approximately one Thermal Power Station at Barsingsar, Rajasthan, with a total installed capacity of over 3,240 megawatts (MW). Its projects under construction/implementation include Neyveli New Thermal Power Project-2x500 MW; Mine-I 10.5 MTPA (Area Expansion) &amp; Expansion of Mine-IA (from 3.0 MTPA to 7.0 MTPA); Bithnok Thermal Power Project (250 MW) with linked Bithnok Mine (2.25 MTPA); Barsingsar Thermal Power Station Extension (250 MW) with linked Hadla Mine (1.9 MTPA), and Wind Power Project (51 MW).</v>
    <v>11379</v>
    <v>National Stock Exchange of India</v>
    <v>XNSE</v>
    <v>XNSE</v>
    <v>Block - 1, Neyveli, CUDDALORE, TAMIL NADU, 607801 IN</v>
    <v>63.65</v>
    <v>Electrical Utilities &amp; IPPs</v>
    <v>Stock</v>
    <v>44571.406377314815</v>
    <v>79</v>
    <v>62.75</v>
    <v>86942120000</v>
    <v>NLC INDIA LIMITED</v>
    <v>NLC INDIA LIMITED</v>
    <v>63</v>
    <v>6.22</v>
    <v>62.7</v>
    <v>62.95</v>
    <v>1386637000</v>
    <v>NLCINDIA</v>
    <v>NLC INDIA LIMITED (XNSE:NLCINDIA)</v>
    <v>1334838</v>
    <v>1956</v>
  </rv>
  <rv s="2">
    <v>80</v>
  </rv>
  <rv s="0">
    <v>https://www.bing.com/financeapi/forcetrigger?t=ahio4c&amp;q=XNSE%3aKOTHARIPET&amp;form=skydnc</v>
    <v>Learn more on Bing</v>
  </rv>
  <rv s="1">
    <v>en-IN</v>
    <v>ahio4c</v>
    <v>268435456</v>
    <v>1</v>
    <v>Powered by Refinitiv</v>
    <v>0</v>
    <v>KOTHARI PETROCHEMICALS LIMITED. (XNSE:KOTHARIPET)</v>
    <v>2</v>
    <v>3</v>
    <v>Finance</v>
    <v>4</v>
    <v>77.5</v>
    <v>21.75</v>
    <v>1.1453</v>
    <v>3.5</v>
    <v>4.9296E-2</v>
    <v>INR</v>
    <v>Kothari Petrochemicals Limited is an India-based holding company. The Company is engaged in the manufacturing of Poly Iso Butene (PIB) and LPG. Its geographical segments include Outside India and India. It also offers products, including light polymers and others. The Company's products include KVIS 10, KVIS 30, KVIS 100 and KVIS 200. Its products are marketed across the world under the KVIS brand name. The Company's products are used in various applications, such as lubricants; adhesives; stretch/silage/cling wrap; sealants and caulks; coatings; polymer modification; asphalt and rubber; electrical cable insulation, and miscellaneous applications. It provides a range of packaging for International Standards Organization (ISO) containers, drums, palletization and various types of drums. It has offices in Chennai, Manali, Mumbai and Belgium. The Company's manufacturing plant is located in Sathangadu Village, Tiruvottiur-Ponneri High Road, Manali, Chennai.</v>
    <v>148</v>
    <v>National Stock Exchange of India</v>
    <v>XNSE</v>
    <v>XNSE</v>
    <v>17, Khader Nawaz Khan Road, Nawazish, III Floor, CHENNAI, TAMIL NADU, 600006 IN</v>
    <v>75</v>
    <v>Chemicals</v>
    <v>Stock</v>
    <v>44571.406331018516</v>
    <v>82</v>
    <v>72.3</v>
    <v>4178094000</v>
    <v>KOTHARI PETROCHEMICALS LIMITED.</v>
    <v>KOTHARI PETROCHEMICALS LIMITED.</v>
    <v>72.3</v>
    <v>13.24</v>
    <v>71</v>
    <v>74.5</v>
    <v>58846400</v>
    <v>KOTHARIPET</v>
    <v>KOTHARI PETROCHEMICALS LIMITED. (XNSE:KOTHARIPET)</v>
    <v>498898</v>
    <v>1989</v>
  </rv>
  <rv s="2">
    <v>83</v>
  </rv>
  <rv s="0">
    <v>https://www.bing.com/financeapi/forcetrigger?t=ahhxmw&amp;q=XNSE%3aGOKULAGRO&amp;form=skydnc</v>
    <v>Learn more on Bing</v>
  </rv>
  <rv s="1">
    <v>en-IN</v>
    <v>ahhxmw</v>
    <v>268435456</v>
    <v>1</v>
    <v>Powered by Refinitiv</v>
    <v>0</v>
    <v>GOKUL AGRO RESOURCES LIMITED (XNSE:GOKULAGRO)</v>
    <v>2</v>
    <v>3</v>
    <v>Finance</v>
    <v>4</v>
    <v>80</v>
    <v>18.899999999999999</v>
    <v>1.4449000000000001</v>
    <v>3.8</v>
    <v>4.9869000000000004E-2</v>
    <v>INR</v>
    <v>Gokul Agro Resources Limited is engaged in the manufacture of edible/non-edible oils and fats. The Company offers agro based commodities under various product groups, including Soybean, Palmolive, cotton seed oil, sun flower oil, castor oil, oil cakes, de-oiled cakes, Vanaspati, oil seeds and other agro-commodities. Its product groups also include Oleochemical Products, Feed and Other Meals, and Cereals, Spices and Oil seeds. Its Edible oil products are offered under various brands, such as Vitalife, Mehak, Zaika, Pride, Richfield, Puffpride and Biscopride. Its Oleochemical Products include soya acid oil and palm fatty acid distillate. Its Cereals, Spices and Oil seeds products include sesame seeds hulled, sesame seeds natural, sesame seeds black, cumin seeds, ajwain seed, wheat, rice, barley, maize, chick pea and fenugreek seeds. It has a refinery located in the district of Anjar, Kutch, which includes in-house plants for manufacturing tins, jars, bottles and corrugated boxes.</v>
    <v>549</v>
    <v>National Stock Exchange of India</v>
    <v>XNSE</v>
    <v>XNSE</v>
    <v>801 to 805, Dwarkesh Business Hub Survey No. 126/1,, Opp Visamo Society, B/H Atishay, AHMEDABAD, GUJARAT, 380005 IN</v>
    <v>80</v>
    <v>Food &amp; Tobacco</v>
    <v>Stock</v>
    <v>44571.406238425923</v>
    <v>85</v>
    <v>80</v>
    <v>10902110000</v>
    <v>GOKUL AGRO RESOURCES LIMITED</v>
    <v>GOKUL AGRO RESOURCES LIMITED</v>
    <v>80</v>
    <v>15.01</v>
    <v>76.2</v>
    <v>80</v>
    <v>143072400</v>
    <v>GOKULAGRO</v>
    <v>GOKUL AGRO RESOURCES LIMITED (XNSE:GOKULAGRO)</v>
    <v>37820</v>
    <v>2014</v>
  </rv>
  <rv s="2">
    <v>86</v>
  </rv>
  <rv s="0">
    <v>https://www.bing.com/financeapi/forcetrigger?t=bra8hw&amp;q=XNSE%3aSHREDIGCEM&amp;form=skydnc</v>
    <v>Learn more on Bing</v>
  </rv>
  <rv s="8">
    <v>en-IN</v>
    <v>bra8hw</v>
    <v>268435456</v>
    <v>1</v>
    <v>Powered by Refinitiv</v>
    <v>15</v>
    <v>SHREE DIGVIJAY CEMENT CO LIMITED (XNSE:SHREDIGCEM)</v>
    <v>2</v>
    <v>16</v>
    <v>Finance</v>
    <v>4</v>
    <v>97.8</v>
    <v>48.95</v>
    <v>0.5</v>
    <v>6.234E-3</v>
    <v>INR</v>
    <v>Shree Digvijay Cement Company Limited is an India-based company engaged in the manufacturing and selling of cement. The Company offers products, such as Ordinary Portland Cement 53 grade (OPC), Oridinary Portland Cement 43 grade (OPC), Sulphate Resisting Portland Cement (SRPC), Oil Well Cement Class G Grade HSR and Portland Pozzolana Cement. The Company's other products include special cements, such as Oil Well Cement, Sulphate Resisting Portland Cement and Railway Sleeper Manufacturing Cement. The Company offers its products through KAMAL brand. The Company caters to the domestic market. The Company exports cement and cement clinker to various countries, including the United Arab Emirates, Somalia, Yemen, Bangladesh, Qatar, Sri Lanka, Iraq, Kuwait, Bahrain, Philippines, and other South Asian Association for Regional Cooperation and African countries. The Company has a manufacturing facility at Sikka, Jamnagar.</v>
    <v>273</v>
    <v>National Stock Exchange of India</v>
    <v>XNSE</v>
    <v>XNSE</v>
    <v>P. O. Digvijaygram, JAMNAGAR, GUJARAT, 361140 IN</v>
    <v>81.599999999999994</v>
    <v>Construction Materials</v>
    <v>Stock</v>
    <v>44571.406365740739</v>
    <v>88</v>
    <v>80.2</v>
    <v>11537190000</v>
    <v>SHREE DIGVIJAY CEMENT CO LIMITED</v>
    <v>SHREE DIGVIJAY CEMENT CO LIMITED</v>
    <v>80.8</v>
    <v>14.99</v>
    <v>80.2</v>
    <v>80.7</v>
    <v>143855300</v>
    <v>SHREDIGCEM</v>
    <v>SHREE DIGVIJAY CEMENT CO LIMITED (XNSE:SHREDIGCEM)</v>
    <v>426045</v>
    <v>1944</v>
  </rv>
  <rv s="2">
    <v>89</v>
  </rv>
  <rv s="0">
    <v>https://www.bing.com/financeapi/forcetrigger?t=ahhhh7&amp;q=XNSE%3aDAAWAT&amp;form=skydnc</v>
    <v>Learn more on Bing</v>
  </rv>
  <rv s="1">
    <v>en-IN</v>
    <v>ahhhh7</v>
    <v>268435456</v>
    <v>1</v>
    <v>Powered by Refinitiv</v>
    <v>0</v>
    <v>LT FOODS LIMITED (XNSE:DAAWAT)</v>
    <v>2</v>
    <v>3</v>
    <v>Finance</v>
    <v>4</v>
    <v>90.5</v>
    <v>48.75</v>
    <v>1.1568000000000001</v>
    <v>0.65</v>
    <v>8.3979999999999992E-3</v>
    <v>INR</v>
    <v>LT Foods Limited is a branded specialty foods company. The Company is engaged in milling, processing and marketing of branded and non-branded basmati rice, and manufacturing of rice food products in the domestic and overseas market. Its geographical segments include India, North America and Rest of the world. Its operations include contract farming, procurement, storage, processing, packaging and distribution. Its rice product portfolio comprises brown rice, white rice, steamed rice, parboiled rice, organic rice, quick cooking rice, value added rice and flavored rice in the ready to cook segment. The Company's brands include Royal; Ecolife, an organic food brand that includes rice, pulses, oil seeds, cereal grains, spices, nuts and fruits and vegetables; Devaaya, which offers branded Basmati rice, with staples, such as Atta, Suji, Besan, Dalia, Poha and Maida, and Heritage, a basmati rice brand. Its brands also include Daawat, Gold seal Indus Valley, Rozana and 817 Elephant.</v>
    <v>1090</v>
    <v>National Stock Exchange of India</v>
    <v>XNSE</v>
    <v>XNSE</v>
    <v>MVL-I Park,, 4th Floor,, Sector-15,, GURGAON, HARYANA, 122001 IN</v>
    <v>79.2</v>
    <v>Food &amp; Tobacco</v>
    <v>Stock</v>
    <v>44571.406365740739</v>
    <v>91</v>
    <v>77.099999999999994</v>
    <v>24755990000</v>
    <v>LT FOODS LIMITED</v>
    <v>LT FOODS LIMITED</v>
    <v>78.3</v>
    <v>9.11</v>
    <v>77.400000000000006</v>
    <v>78.05</v>
    <v>319844800</v>
    <v>DAAWAT</v>
    <v>LT FOODS LIMITED (XNSE:DAAWAT)</v>
    <v>1568775</v>
    <v>1990</v>
  </rv>
  <rv s="2">
    <v>92</v>
  </rv>
  <rv s="0">
    <v>https://www.bing.com/financeapi/forcetrigger?t=ahiuvh&amp;q=XNSE%3aMANAKSIA&amp;form=skydnc</v>
    <v>Learn more on Bing</v>
  </rv>
  <rv s="1">
    <v>en-IN</v>
    <v>ahiuvh</v>
    <v>268435456</v>
    <v>1</v>
    <v>Powered by Refinitiv</v>
    <v>0</v>
    <v>MANAKSIA LIMITED (XNSE:MANAKSIA)</v>
    <v>2</v>
    <v>3</v>
    <v>Finance</v>
    <v>4</v>
    <v>82.45</v>
    <v>48</v>
    <v>1.3293999999999999</v>
    <v>1.25</v>
    <v>1.6088000000000002E-2</v>
    <v>INR</v>
    <v>Manaksia Limited is a holding company, which is engaged in the trading of steel products, aluminum rolled products and roll on pilfer proof (ROPP) closures. The Company's segments include Packaging Product, Metal Products and Others. The Packaging segment is engaged in the manufacture and sale of pilfer proof (PP) cap, crown closures, metal containers, expanded polyethylene (EP) liners, washer and EP sheets. The Metal Products segment manufactures and sells aluminum and steel galvanized sheets, and coils. The Others segment is engaged in the manufacture and sale of machines and spare parts. Its aluminum rolled products in coil and sheet form are used in closures, bus bodies, flooring and general engineering purposes, and aluminum alloy ingots are used in the steel and automotive industry.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80.7</v>
    <v>Metals &amp; Mining</v>
    <v>Stock</v>
    <v>44571.406342592592</v>
    <v>94</v>
    <v>78.150000000000006</v>
    <v>5091996000</v>
    <v>MANAKSIA LIMITED</v>
    <v>MANAKSIA LIMITED</v>
    <v>78.55</v>
    <v>5.51</v>
    <v>77.7</v>
    <v>78.95</v>
    <v>65534050</v>
    <v>MANAKSIA</v>
    <v>MANAKSIA LIMITED (XNSE:MANAKSIA)</v>
    <v>215591</v>
    <v>1984</v>
  </rv>
  <rv s="2">
    <v>95</v>
  </rv>
  <rv s="0">
    <v>https://www.bing.com/financeapi/forcetrigger?t=ahhr77&amp;q=XNSE%3aFEDERALBNK&amp;form=skydnc</v>
    <v>Learn more on Bing</v>
  </rv>
  <rv s="1">
    <v>en-IN</v>
    <v>ahhr77</v>
    <v>268435456</v>
    <v>1</v>
    <v>Powered by Refinitiv</v>
    <v>0</v>
    <v>THE FEDERAL BANK LTD (XNSE:FEDERALBNK)</v>
    <v>2</v>
    <v>3</v>
    <v>Finance</v>
    <v>4</v>
    <v>107.65</v>
    <v>68.8</v>
    <v>1.5042</v>
    <v>4.3</v>
    <v>4.7072000000000003E-2</v>
    <v>INR</v>
    <v>The Federal Bank Limited is a banking company. The Company operates through four segments: Treasury, Corporate or Wholesale Banking, Retail Banking and other banking operations. The Treasury operations include trading and investments in government and corporate debt instruments, equity and mutual funds, derivative trading and foreign exchange operations on account and for customers. The Corporate/Wholesale Banking segment provides loans and other banking services to corporate and other clients. The Retail banking segment provides lending and other banking services to individuals/small business customers, other than corporate/wholesale banking customers. The Other Banking Operations segment includes para banking activities, such as third party product distribution and other banking transactions. It offers various accounts and deposits; loans; cards; banking services, and insurance and investments. It operates over 1,250 branches and over 1,520 automatic teller machines (ATMs).</v>
    <v>12592</v>
    <v>National Stock Exchange of India</v>
    <v>XNSE</v>
    <v>XNSE</v>
    <v>Federal Towers, Post Box No.103, ALUVA, KERALA, 683101 IN</v>
    <v>95.9</v>
    <v>Banking Services</v>
    <v>Stock</v>
    <v>44571.406319444446</v>
    <v>97</v>
    <v>91.6</v>
    <v>192020300000</v>
    <v>THE FEDERAL BANK LTD</v>
    <v>THE FEDERAL BANK LTD</v>
    <v>91.85</v>
    <v>10.33</v>
    <v>91.35</v>
    <v>95.65</v>
    <v>2102028000</v>
    <v>FEDERALBNK</v>
    <v>THE FEDERAL BANK LTD (XNSE:FEDERALBNK)</v>
    <v>27623764</v>
    <v>1931</v>
  </rv>
  <rv s="2">
    <v>98</v>
  </rv>
  <rv s="0">
    <v>https://www.bing.com/financeapi/forcetrigger?t=ahke4c&amp;q=XNSE%3aTNPETRO&amp;form=skydnc</v>
    <v>Learn more on Bing</v>
  </rv>
  <rv s="1">
    <v>en-IN</v>
    <v>ahke4c</v>
    <v>268435456</v>
    <v>1</v>
    <v>Powered by Refinitiv</v>
    <v>0</v>
    <v>TAMILNADU PETROPRODUCTS LIMITED (XNSE:TNPETRO)</v>
    <v>2</v>
    <v>3</v>
    <v>Finance</v>
    <v>4</v>
    <v>150.75</v>
    <v>37.85</v>
    <v>1.117</v>
    <v>1.25</v>
    <v>1.1235999999999999E-2</v>
    <v>INR</v>
    <v>Tamilnadu Petroproducts Limited is engaged in the manufacturing and selling of petrochemical and chemical products, namely Linear Alkyl Benzene and Caustic Soda. The Company also offers Caustic Soda lye. The Company operates in the Industrial Intermediate Chemicals segment. The Company offers Linear Alkyl Benzene in various grades, which include SL-352 and SL-402. The Company also offers Ammonium Chloride, Hydrochloric Acid, Compressed Hydrogen and Sodium Hypo Chlorite. The Company's manufacturing units include Linear Alkyl Benzene; Chlor Alkalis, consisting of Caustic Soda and Chlorine, and Epichlorohydrin (ECH). The Company's manufacturing facilities are located at Manali. The Company's product, Linear Alkyl Benzene, is an intermediate chemical used in the manufacture of household and industrial cleaning agent. Its Caustic Soda is an industrial chemical, and has applications in textile, pulp and paper, aluminum, soaps and detergents industries.</v>
    <v>425</v>
    <v>National Stock Exchange of India</v>
    <v>XNSE</v>
    <v>XNSE</v>
    <v>Manali Express Highway, Manali, CHENNAI, TAMIL NADU, 600068 IN</v>
    <v>113.6</v>
    <v>Chemicals</v>
    <v>Stock</v>
    <v>44571.406354166669</v>
    <v>100</v>
    <v>111.25</v>
    <v>10009330000</v>
    <v>TAMILNADU PETROPRODUCTS LIMITED</v>
    <v>TAMILNADU PETROPRODUCTS LIMITED</v>
    <v>112.15</v>
    <v>5.29</v>
    <v>111.25</v>
    <v>112.5</v>
    <v>89971470</v>
    <v>TNPETRO</v>
    <v>TAMILNADU PETROPRODUCTS LIMITED (XNSE:TNPETRO)</v>
    <v>324034</v>
    <v>1984</v>
  </rv>
  <rv s="2">
    <v>101</v>
  </rv>
  <rv s="0">
    <v>https://www.bing.com/financeapi/forcetrigger?t=axvhlh&amp;q=XNSE%3aVETO&amp;form=skydnc</v>
    <v>Learn more on Bing</v>
  </rv>
  <rv s="1">
    <v>en-IN</v>
    <v>axvhlh</v>
    <v>268435456</v>
    <v>1</v>
    <v>Powered by Refinitiv</v>
    <v>0</v>
    <v>VETO SWITCHGEARS AND CABLES LIMITED (XNSE:VETO)</v>
    <v>2</v>
    <v>3</v>
    <v>Finance</v>
    <v>4</v>
    <v>172</v>
    <v>80.650000000000006</v>
    <v>1.4818</v>
    <v>7.1</v>
    <v>6.2363000000000002E-2</v>
    <v>INR</v>
    <v>Veto Switchgears and Cables Limited is engaged in the manufacturing of electrical accessories, and wires and cables. The Company's segments include Wires and Cables; Electrical accessories, Switch socket, MCB's, and CFL, lightning and fans.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Its products are marketed in both domestic and international markets. The Company supplies its products under the brands VETO and VIMAL POWER through a network of dealers to the customers in India, as well as selected customers abroad.</v>
    <v>403</v>
    <v>National Stock Exchange of India</v>
    <v>XNSE</v>
    <v>XNSE</v>
    <v>230, Sindhi Colony,, Raja Park,, JAIPUR, RAJASTHAN, 302004 IN</v>
    <v>124.9</v>
    <v>Machinery, Equipment &amp; Components</v>
    <v>Stock</v>
    <v>44571.406342592592</v>
    <v>103</v>
    <v>114.3</v>
    <v>2176238000</v>
    <v>VETO SWITCHGEARS AND CABLES LIMITED</v>
    <v>VETO SWITCHGEARS AND CABLES LIMITED</v>
    <v>114.5</v>
    <v>12.3</v>
    <v>113.85</v>
    <v>120.95</v>
    <v>19114950</v>
    <v>VETO</v>
    <v>VETO SWITCHGEARS AND CABLES LIMITED (XNSE:VETO)</v>
    <v>994130</v>
    <v>2007</v>
  </rv>
  <rv s="2">
    <v>104</v>
  </rv>
  <rv s="0">
    <v>http://en.wikipedia.org/wiki/Indian_Oil_Corporation</v>
    <v>Wikipedia</v>
  </rv>
  <rv s="5">
    <v>21</v>
    <v>106</v>
  </rv>
  <rv s="6">
    <v>14</v>
    <v>https://www.bing.com/th?id=AMMS_dde95cb8dc5ece8dfe6b4dcfc470be42&amp;qlt=95</v>
    <v>107</v>
    <v>0</v>
    <v>https://www.bing.com/images/search?form=xlimg&amp;q=indian+oil+corporation</v>
    <v>Image of INDIAN OIL CORPORATION LIMITED</v>
  </rv>
  <rv s="0">
    <v>https://www.bing.com/financeapi/forcetrigger?t=ahidf2&amp;q=XNSE%3aIOC&amp;form=skydnc</v>
    <v>Learn more on Bing</v>
  </rv>
  <rv s="7">
    <v>en-IN</v>
    <v>ahidf2</v>
    <v>268435456</v>
    <v>1</v>
    <v>Powered by Refinitiv</v>
    <v>10</v>
    <v>INDIAN OIL CORPORATION LIMITED (XNSE:IOC)</v>
    <v>12</v>
    <v>13</v>
    <v>Finance</v>
    <v>4</v>
    <v>141.5</v>
    <v>86.75</v>
    <v>0.8639</v>
    <v>1.1499999999999999</v>
    <v>9.7050000000000001E-3</v>
    <v>INR</v>
    <v>Indian Oil Corporation Limited is engaged in refining business. The Company's segments include Sale of Petroleum Products, Sale of Petrochemicals and Other businesses. Its Other businesses segment includes sale of gas, explosives and cryogenics, wind mill and solar power generation, and oil and gas exploration activities. Its business interests span the entire hydrocarbon value-chain ranging from refining, pipeline transportation and marketing of petroleum products to exploration and production of crude oil and gas, marketing of natural gas and petrochemicals. It has a portfolio of energy brands that include Indane liquefied petroleum gas (LPG) cooking gas, SERVO lubricants, XTRAPREMIUM petrol, XTRAMILE diesel and PROPEL petrochemicals. It operates approximately 25,000 petrol and diesel stations, including over 6,200 Kisan Seva Kendra outlets in the rural markets. It owns and operates over 10 refineries with a combined refining capacity of over 80.7 million metric tons per annum.</v>
    <v>31648</v>
    <v>National Stock Exchange of India</v>
    <v>XNSE</v>
    <v>XNSE</v>
    <v>Plot no.3079/3, Sadiq Nagar,, J.B. Tito Marg., NEW DELHI, DELHI, 110049 IN</v>
    <v>120.15</v>
    <v>108</v>
    <v>Oil &amp; Gas</v>
    <v>Stock</v>
    <v>44571.406377314815</v>
    <v>109</v>
    <v>118.3</v>
    <v>1115578000000</v>
    <v>INDIAN OIL CORPORATION LIMITED</v>
    <v>INDIAN OIL CORPORATION LIMITED</v>
    <v>119</v>
    <v>4.26</v>
    <v>118.5</v>
    <v>119.65</v>
    <v>9414159000</v>
    <v>IOC</v>
    <v>INDIAN OIL CORPORATION LIMITED (XNSE:IOC)</v>
    <v>5895072</v>
    <v>1959</v>
  </rv>
  <rv s="2">
    <v>110</v>
  </rv>
  <rv s="0">
    <v>https://www.bing.com/financeapi/forcetrigger?t=bzs5r7&amp;q=XNSE%3aRAILTEL&amp;form=skydnc</v>
    <v>Learn more on Bing</v>
  </rv>
  <rv s="9">
    <v>en-IN</v>
    <v>bzs5r7</v>
    <v>268435456</v>
    <v>1</v>
    <v>Powered by Refinitiv</v>
    <v>17</v>
    <v>RAILTEL CORPORATION OF INDIA LIMITED (XNSE:RAILTEL)</v>
    <v>2</v>
    <v>18</v>
    <v>Finance</v>
    <v>4</v>
    <v>189.7</v>
    <v>101</v>
    <v>1</v>
    <v>8.3540000000000003E-3</v>
    <v>INR</v>
    <v>Railtel Corporation of India Ltd, formerly Railtel of India Corp Ltd is an India-based information and communications technology (ICT) infrastructure provider. It also provides neutral telecom infrastructure in India. The Company is engaged in modernizing the existing telecom system for train control, operation and safety and to create nationwide broadband and multimedia network by laying optical fiber cable by using railway tracks. The Company offers a portfolio of services across industries, such as telecom network services, telecom infrastructure services, managed data center and hosting services, and projects (system integration services). The Company’s optical fiber network covers approximately 59,098 route kilometers and covers over 5,929 railway stations across towns and cities in India. It operates data centers in Gurugram, Haryana and Secunderabad, Telangana to host and collocate critical applications for customers including the Indian Railways.</v>
    <v>National Stock Exchange of India</v>
    <v>XNSE</v>
    <v>XNSE</v>
    <v>Plot No, 143, Sector 44 Road, Sector 44, Gurgaon, HARYANA IN</v>
    <v>121.6</v>
    <v>Telecommunications Services</v>
    <v>Stock</v>
    <v>44571.406331018516</v>
    <v>112</v>
    <v>119</v>
    <v>38416330000</v>
    <v>RAILTEL CORPORATION OF INDIA LIMITED</v>
    <v>RAILTEL CORPORATION OF INDIA LIMITED</v>
    <v>120.5</v>
    <v>24.04</v>
    <v>119.7</v>
    <v>120.7</v>
    <v>320938400</v>
    <v>RAILTEL</v>
    <v>RAILTEL CORPORATION OF INDIA LIMITED (XNSE:RAILTEL)</v>
    <v>1143206</v>
    <v>2000</v>
  </rv>
  <rv s="2">
    <v>113</v>
  </rv>
  <rv s="0">
    <v>https://www.bing.com/financeapi/forcetrigger?t=ahgya2&amp;q=XNSE%3aARVIND&amp;form=skydnc</v>
    <v>Learn more on Bing</v>
  </rv>
  <rv s="1">
    <v>en-IN</v>
    <v>ahgya2</v>
    <v>268435456</v>
    <v>1</v>
    <v>Powered by Refinitiv</v>
    <v>0</v>
    <v>ARVIND LIMITED (XNSE:ARVIND)</v>
    <v>2</v>
    <v>3</v>
    <v>Finance</v>
    <v>4</v>
    <v>146.9</v>
    <v>47</v>
    <v>1.5261</v>
    <v>2.9</v>
    <v>2.2153999999999997E-2</v>
    <v>INR</v>
    <v>Arvind Limited is a textile company. The Company's principal products/services are finished fabrics and garments. Its segments are Textiles; Brands and Retail; Real Estate, and Others. The Textiles segment includes fabric, yarn and garments. The Brands and Retail segment includes retailing of branded garments, apparels and fabrics. The Real Estate segment includes real estate development. The Others segment includes electronics, technical textile, construction, e-commerce and project activity. It also manufactures cotton shirting, denim, knits and bottom weights (Khakis) fabrics, and jeans and shirts garments. The Company, through its subsidiary, Arvind Lifestyle Brands Limited, markets branded apparel and licenses international brands in India. Its brands portfolio includes international brands, such as Arrow, US Polo, Izod, Elle and Cherokee. It also operates MEGAMART apparel value retail stores. It also has presence in telecom business directly and through joint venture companies.</v>
    <v>24774</v>
    <v>National Stock Exchange of India</v>
    <v>XNSE</v>
    <v>XNSE</v>
    <v>Naroda Road, AHMEDABAD, GUJARAT, 380025 IN</v>
    <v>139.25</v>
    <v>Textiles &amp; Apparel</v>
    <v>Stock</v>
    <v>44571.406331018516</v>
    <v>115</v>
    <v>131.35</v>
    <v>34110680000</v>
    <v>ARVIND LIMITED</v>
    <v>ARVIND LIMITED</v>
    <v>131.94999999999999</v>
    <v>24.29</v>
    <v>130.9</v>
    <v>133.80000000000001</v>
    <v>260585800</v>
    <v>ARVIND</v>
    <v>ARVIND LIMITED (XNSE:ARVIND)</v>
    <v>3204840</v>
    <v>1931</v>
  </rv>
  <rv s="2">
    <v>116</v>
  </rv>
  <rv s="0">
    <v>https://www.bing.com/financeapi/forcetrigger?t=ahgyzr&amp;q=XNSE%3aASHOKLEY&amp;form=skydnc</v>
    <v>Learn more on Bing</v>
  </rv>
  <rv s="1">
    <v>en-IN</v>
    <v>ahgyzr</v>
    <v>268435456</v>
    <v>1</v>
    <v>Powered by Refinitiv</v>
    <v>0</v>
    <v>ASHOK LEYLAND LIMITED (XNSE:ASHOKLEY)</v>
    <v>2</v>
    <v>3</v>
    <v>Finance</v>
    <v>4</v>
    <v>153.5</v>
    <v>99.5</v>
    <v>1.3070999999999999</v>
    <v>1.7</v>
    <v>1.2840000000000001E-2</v>
    <v>INR</v>
    <v>Ashok Leyland Limited is a holding company. The Company is engaged in Commercial vehicles and related components. Through its subsidiaries, it is engaged in manufacturing and trading in Medium and Heavy Commercial Vehicle, Light Commercial Vehicles, Passenger vehicles, automotive aggregates, vehicle financing and engineering design services. It offers a range of 18 to 80-seater buses under categories, such as city application and electric buses. It offers a range of trucks, which include long haul trucks, mining and construction trucks, and distribution trucks. It designs, develops and manufactures defense vehicles for armed forces. It offers Light Vehicles, which include DOST, PARTNER, STiLE and MiTR. It offers power solutions for electric power generation, agricultural harvester combines, earth moving and construction equipment, and marine and other non-automotive applications. It has operations in India, Sri Lanka, Bangladesh, Mauritius, the Middle East and Africa.</v>
    <v>10758</v>
    <v>National Stock Exchange of India</v>
    <v>XNSE</v>
    <v>XNSE</v>
    <v>No. 1, Sardar Patel Road, Guindy, CHENNAI, TAMIL NADU, 600032 IN</v>
    <v>134.9</v>
    <v>Automobiles &amp; Auto Parts</v>
    <v>Stock</v>
    <v>44571.406354166669</v>
    <v>118</v>
    <v>132.4</v>
    <v>388663800000</v>
    <v>ASHOK LEYLAND LIMITED</v>
    <v>ASHOK LEYLAND LIMITED</v>
    <v>132.4</v>
    <v>0</v>
    <v>132.4</v>
    <v>134.1</v>
    <v>2935527000</v>
    <v>ASHOKLEY</v>
    <v>ASHOK LEYLAND LIMITED (XNSE:ASHOKLEY)</v>
    <v>5675293</v>
    <v>1948</v>
  </rv>
  <rv s="2">
    <v>119</v>
  </rv>
  <rv s="0">
    <v>https://www.bing.com/financeapi/forcetrigger?t=ahjmz2&amp;q=XNSE%3aRBLBANK&amp;form=skydnc</v>
    <v>Learn more on Bing</v>
  </rv>
  <rv s="1">
    <v>en-IN</v>
    <v>ahjmz2</v>
    <v>268435456</v>
    <v>1</v>
    <v>Powered by Refinitiv</v>
    <v>0</v>
    <v>RBL BANK LIMITED (XNSE:RBLBANK)</v>
    <v>2</v>
    <v>3</v>
    <v>Finance</v>
    <v>4</v>
    <v>274.3</v>
    <v>123.8</v>
    <v>1.6693</v>
    <v>6.05</v>
    <v>4.4782000000000002E-2</v>
    <v>INR</v>
    <v>RBL Bank Ltd is an India-based bank. The Company operates in six business segments: Corporate and Institutional Banking (C&amp;IB), Commercial Banking (CB), Branch and Business Banking (BBB), Retail Assets, Development Banking and Financial Inclusion (DB&amp;FI), Treasury and Financial Markets Operations. C&amp;IB products and services include various fund-based and non-fund-based products, including liability products, loan products, cash management and treasury risk management. CB segment finances the business requirements of small and medium enterprises. BBB segment's services include savings account, current account, fixed deposits, and non-resident Indian (NRI) banking. Retail Assets segment offers retail loans, digital lending, credit card, retail agribusiness, commodity and warehouse receipt finance, and farm mechanization. DB&amp;FI segment's products include micro-insurance, individual business loan, bank guarantees, fixed deposits, salary accounts and cash management services.</v>
    <v>7816</v>
    <v>National Stock Exchange of India</v>
    <v>XNSE</v>
    <v>XNSE</v>
    <v>One Indiabulls Centre, Tower 2B, 6th Floor, 841, Senapati Bapat Marg Lower Parel (W), MUMBAI, MAHARASHTRA, 400013 IN</v>
    <v>141.30000000000001</v>
    <v>Banking Services</v>
    <v>Stock</v>
    <v>44571.406365740739</v>
    <v>121</v>
    <v>135.80000000000001</v>
    <v>80985770000</v>
    <v>RBL BANK LIMITED</v>
    <v>RBL BANK LIMITED</v>
    <v>136</v>
    <v>0</v>
    <v>135.1</v>
    <v>141.15</v>
    <v>599450500</v>
    <v>RBLBANK</v>
    <v>RBL BANK LIMITED (XNSE:RBLBANK)</v>
    <v>21281258</v>
    <v>1943</v>
  </rv>
  <rv s="2">
    <v>122</v>
  </rv>
  <rv s="0">
    <v>https://www.bing.com/financeapi/forcetrigger?t=ahiak2&amp;q=XNSE%3aINDIANB&amp;form=skydnc</v>
    <v>Learn more on Bing</v>
  </rv>
  <rv s="10">
    <v>en-IN</v>
    <v>ahiak2</v>
    <v>268435456</v>
    <v>1</v>
    <v>Powered by Refinitiv</v>
    <v>19</v>
    <v>Indian Bank (XNSE:INDIANB)</v>
    <v>2</v>
    <v>20</v>
    <v>Finance</v>
    <v>4</v>
    <v>194.95</v>
    <v>85.35</v>
    <v>1.9400999999999999</v>
    <v>4.0999999999999996</v>
    <v>2.8443E-2</v>
    <v>INR</v>
    <v>Indian Bank offers deposits, loans and services. The Bank's segments include Treasury, Corporate/Wholesale Banking, Retail Banking and Other Banking Operations. The Company offers products under various categories, including agriculture, corporates, personal/individual, business, professional self-employed, small and medium-sized enterprise (SME), cards, education, Non-Resident Indian (NRI), property and technology. Its deposits include savings bank (SB) account, such as SB Vikas Khata, SB Platinum, SB Power, SB Silver and SB Gold; current account, including Premium Current Account and IB i-Freedom Current Account; term deposits, including fixed deposit, re-investment plan, insured recurring deposit, variable recurring deposit and facility deposit, and NRI accounts, including Non-Resident Ordinary Account. It also offers services, which include premium services, insurance services and e-payment of indirect taxes. The Bank has approximately 70 specialized branches across the country.</v>
    <v>41557</v>
    <v>National Stock Exchange of India</v>
    <v>XNSE</v>
    <v>XNSE</v>
    <v>Investor Services Cell, Wing 2-C, 254-260, Avvai Shanmugam Salai, Royapettah, CHENNAI, TAMIL NADU, 600014 IN</v>
    <v>149.30000000000001</v>
    <v>Banking Services</v>
    <v>Stock</v>
    <v>44571.406377314815</v>
    <v>124</v>
    <v>144.69999999999999</v>
    <v>179530300000</v>
    <v>Indian Bank</v>
    <v>Indian Bank</v>
    <v>144.69999999999999</v>
    <v>3.59</v>
    <v>144.15</v>
    <v>148.25</v>
    <v>1245441000</v>
    <v>INDIANB</v>
    <v>Indian Bank (XNSE:INDIANB)</v>
    <v>3095108</v>
  </rv>
  <rv s="2">
    <v>125</v>
  </rv>
  <rv s="0">
    <v>https://www.bing.com/financeapi/forcetrigger?t=ahkeww&amp;q=XNSE%3aTRF&amp;form=skydnc</v>
    <v>Learn more on Bing</v>
  </rv>
  <rv s="1">
    <v>en-IN</v>
    <v>ahkeww</v>
    <v>268435456</v>
    <v>1</v>
    <v>Powered by Refinitiv</v>
    <v>0</v>
    <v>TRF LIMITED. (XNSE:TRF)</v>
    <v>2</v>
    <v>3</v>
    <v>Finance</v>
    <v>4</v>
    <v>172.4</v>
    <v>80.3</v>
    <v>1.6285000000000001</v>
    <v>6.75</v>
    <v>4.9705000000000006E-2</v>
    <v>INR</v>
    <v>TRF Limited is engaged in the production of material handling equipment. The Company's segments include Products &amp; Services, and Projects &amp; Services. Its divisions include Bulk Material Handling (BMH) Equipment, Bulk Material Handling (BMH) Systems, and Port and Yard (P&amp;Y) Equipment. The BMH Equipment Division specializes in the design and manufacture of a range of material handling equipment used in the infrastructure industries, such as wagon tipplers, stacker reclaimers, ship loaders and unloaders, and travelling wagon loaders. The BMH Systems Division offers a package of material handling and allied systems and services. The P&amp;Y Equipment Division focuses on the design, supply, erection and the commissioning of material handling equipment for ports and stockyards, including level luffing cranes, container cranes and special purpose cranes for power and metallurgical plants. Its divisions cater to the material handling requirements of customers in the infrastructure sectors.</v>
    <v>1254</v>
    <v>National Stock Exchange of India</v>
    <v>XNSE</v>
    <v>XNSE</v>
    <v>Burma Mines, JAMSHEDPUR, JHARKHAND, 831007 IN</v>
    <v>142.55000000000001</v>
    <v>Machinery, Equipment &amp; Components</v>
    <v>Stock</v>
    <v>44571.405023148145</v>
    <v>127</v>
    <v>132.65</v>
    <v>1494399000</v>
    <v>TRF LIMITED.</v>
    <v>TRF LIMITED.</v>
    <v>132.65</v>
    <v>0</v>
    <v>135.80000000000001</v>
    <v>142.55000000000001</v>
    <v>11004410</v>
    <v>TRF</v>
    <v>TRF LIMITED. (XNSE:TRF)</v>
    <v>21770</v>
    <v>1962</v>
  </rv>
  <rv s="2">
    <v>128</v>
  </rv>
  <rv s="0">
    <v>https://www.bing.com/financeapi/forcetrigger?t=ahj9zr&amp;q=XNSE%3aONGC&amp;form=skydnc</v>
    <v>Learn more on Bing</v>
  </rv>
  <rv s="1">
    <v>en-IN</v>
    <v>ahj9zr</v>
    <v>268435456</v>
    <v>1</v>
    <v>Powered by Refinitiv</v>
    <v>0</v>
    <v>OIL AND NATURAL GAS CORPORATION LIMITED (XNSE:ONGC)</v>
    <v>2</v>
    <v>3</v>
    <v>Finance</v>
    <v>4</v>
    <v>172.75</v>
    <v>87.75</v>
    <v>1.2114</v>
    <v>1</v>
    <v>6.3670000000000003E-3</v>
    <v>INR</v>
    <v>Oil and Natural Gas Corporation Limited is a global energy holding company. The Company is engaged in the exploration, development and production of crude oil and natural gas. The Company's segments include Exploration &amp; Production (E&amp;P), and Refining. The Company's geographical segments include operations in two categories: In India, which includes Onshore and Offshore, and Outside India. The Company's business spread include various areas, such as oil field services, transportation of the oil and natural gas, and production of value-added products, such as Liquefied Petroleum Gas (LPG), Naphtha, Refining, Petrochemicals, Power, unconventional and alternate sources of energy. The Company's subsidiaries include ONGC Videsh Limited (OVL), Mangalore Refinery and Petrochemicals Limited (MRPL) and ONGC Mangalore Petrochemicals Limited. The Company's oil and gas reserves are located internationally at Russia, Colombia, Vietnam, Brazil and Venezuela.</v>
    <v>28479</v>
    <v>National Stock Exchange of India</v>
    <v>XNSE</v>
    <v>XNSE</v>
    <v>KDMIPE Capmus,, Kaulagarh Road, DEHARADUN, UTTARANCHAL, 248195 IN</v>
    <v>158.25</v>
    <v>Oil &amp; Gas</v>
    <v>Stock</v>
    <v>44571.406377314815</v>
    <v>130</v>
    <v>156.4</v>
    <v>1975733000000</v>
    <v>OIL AND NATURAL GAS CORPORATION LIMITED</v>
    <v>OIL AND NATURAL GAS CORPORATION LIMITED</v>
    <v>158.25</v>
    <v>5.53</v>
    <v>157.05000000000001</v>
    <v>158.05000000000001</v>
    <v>12580280000</v>
    <v>ONGC</v>
    <v>OIL AND NATURAL GAS CORPORATION LIMITED (XNSE:ONGC)</v>
    <v>14070230</v>
    <v>1993</v>
  </rv>
  <rv s="2">
    <v>131</v>
  </rv>
  <rv s="0">
    <v>https://www.bing.com/financeapi/forcetrigger?t=ahherw&amp;q=XNSE%3aCOALINDIA&amp;form=skydnc</v>
    <v>Learn more on Bing</v>
  </rv>
  <rv s="1">
    <v>en-IN</v>
    <v>ahherw</v>
    <v>268435456</v>
    <v>1</v>
    <v>Powered by Refinitiv</v>
    <v>0</v>
    <v>COAL INDIA LTD (XNSE:COALINDIA)</v>
    <v>2</v>
    <v>3</v>
    <v>Finance</v>
    <v>4</v>
    <v>203.8</v>
    <v>123.4</v>
    <v>0.79749999999999999</v>
    <v>3.4</v>
    <v>2.1663000000000002E-2</v>
    <v>INR</v>
    <v>Coal India Limited (CIL) is an India-based holding company. The Company is a coal mining company, which is engaged in the production and sale of coal. The Company offers products, including Coking Coal, Semi Coking Coal, Non-Coking Coal, Washed and Beneficiated Coal, Middlings, Rejects, Coal Fines/Coke Fines, and Tar/Heavy Oil/Light Oil/Soft Pitch. Its Middlings are used in power generation, brick manufacturing units and cement plants. The Washed and Beneficiated Coal products are used in the manufacturing of hard coke for steel making and power generation. Its Semi Coking Coal products are used as blend-able coal in steel making, merchant coke manufacturing and other metallurgical industries. Its Non-Coking Coal products are used for cement, fertilizer, glass, ceramic, paper, chemical and brick manufacturing, and for other heating purposes. CIL operates through approximately 82 mining areas spread over eight provincial states of India.</v>
    <v>259016</v>
    <v>National Stock Exchange of India</v>
    <v>XNSE</v>
    <v>XNSE</v>
    <v>Coal Bhawan, Premise No-04 MAR,, Plot No-AF-III,Action Area-1A,, Newtown,Rajarhat, KOLKATA, WEST BENGAL, 700156 IN</v>
    <v>161</v>
    <v>Coal</v>
    <v>Stock</v>
    <v>44571.406354166669</v>
    <v>133</v>
    <v>157.05000000000001</v>
    <v>967240200000</v>
    <v>COAL INDIA LTD</v>
    <v>COAL INDIA LTD</v>
    <v>157.80000000000001</v>
    <v>7.02</v>
    <v>156.94999999999999</v>
    <v>160.35</v>
    <v>6162729000</v>
    <v>COALINDIA</v>
    <v>COAL INDIA LTD (XNSE:COALINDIA)</v>
    <v>13304061</v>
    <v>1973</v>
  </rv>
  <rv s="2">
    <v>134</v>
  </rv>
  <rv s="0">
    <v>https://www.bing.com/financeapi/forcetrigger?t=ahknw7&amp;q=XNSE%3aWELSPUNIND&amp;form=skydnc</v>
    <v>Learn more on Bing</v>
  </rv>
  <rv s="1">
    <v>en-IN</v>
    <v>ahknw7</v>
    <v>268435456</v>
    <v>1</v>
    <v>Powered by Refinitiv</v>
    <v>0</v>
    <v>WELSPUN INDIA LIMITED (XNSE:WELSPUNIND)</v>
    <v>2</v>
    <v>3</v>
    <v>Finance</v>
    <v>4</v>
    <v>170.7</v>
    <v>64.849999999999994</v>
    <v>1.2819</v>
    <v>-2.35</v>
    <v>-1.5108E-2</v>
    <v>INR</v>
    <v>Welspun India Limited (Welspun) is an India-based company, which is engaged in the textile business. The Company manufactures a range of home textile products, primarily terry towels, bed linen products and rugs. Its segments include Home Textiles and Power. The Home Textiles segment includes terry towels, bed sheets, pillows cases, rugs, carpets and others used for home furnishings. The Power segment includes generation of power. Its products under bath category include towels, such as beach towels, hand towels, face towels and bath sheets, and robes in various styles, such as kimono, hood and wraps. Its products under bed category include bed linen products, such as bed sheets in various blends; basic bedding products, such as mattress pads, and blown and garneted pillows, and decorative bedding products, such as comforters, duvets and bolsters. Its products under flooring category include rugs, such as bath rugs, and carpets. Its brands include Christy, Spaces and Welhome.</v>
    <v>24594</v>
    <v>National Stock Exchange of India</v>
    <v>XNSE</v>
    <v>XNSE</v>
    <v>Welspun House, 6th Floor,, Kamala Mills Compound,, Senapati Bapat Marg, Lower Parel,, MUMBAI, MAHARASHTRA, 400013 IN</v>
    <v>159.9</v>
    <v>Textiles &amp; Apparel</v>
    <v>Stock</v>
    <v>44571.406342592592</v>
    <v>136</v>
    <v>152.80000000000001</v>
    <v>153692500000</v>
    <v>WELSPUN INDIA LIMITED</v>
    <v>WELSPUN INDIA LIMITED</v>
    <v>156.35</v>
    <v>21.39</v>
    <v>155.55000000000001</v>
    <v>153.19999999999999</v>
    <v>988058500</v>
    <v>WELSPUNIND</v>
    <v>WELSPUN INDIA LIMITED (XNSE:WELSPUNIND)</v>
    <v>2975989</v>
    <v>1985</v>
  </rv>
  <rv s="2">
    <v>137</v>
  </rv>
  <rv s="0">
    <v>https://www.bing.com/financeapi/forcetrigger?t=ahjxa2&amp;q=XNSE%3aSHK&amp;form=skydnc</v>
    <v>Learn more on Bing</v>
  </rv>
  <rv s="1">
    <v>en-IN</v>
    <v>ahjxa2</v>
    <v>268435456</v>
    <v>1</v>
    <v>Powered by Refinitiv</v>
    <v>0</v>
    <v>S H KELKAR AND COMPANY Limited (XNSE:SHK)</v>
    <v>2</v>
    <v>3</v>
    <v>Finance</v>
    <v>4</v>
    <v>207.45</v>
    <v>106</v>
    <v>0.9466</v>
    <v>0.05</v>
    <v>3.0529999999999999E-4</v>
    <v>INR</v>
    <v>S H Kelkar and Company Limited is an India-based fragrance and flavors manufacturing company. The Company is engaged in offering fragrances in various categories, such as personal care, hair care, skincare and cosmetics, fabric care, household products and fine fragrances. The Company offers flavors in various categories, such as dairy products, beverages, confectionery, bakery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168.05</v>
    <v>Chemicals</v>
    <v>Stock</v>
    <v>44571.406342592592</v>
    <v>139</v>
    <v>162.69999999999999</v>
    <v>22599850000</v>
    <v>S H KELKAR AND COMPANY Limited</v>
    <v>S H KELKAR AND COMPANY Limited</v>
    <v>168</v>
    <v>12.62</v>
    <v>163.75</v>
    <v>163.80000000000001</v>
    <v>138014400</v>
    <v>SHK</v>
    <v>S H KELKAR AND COMPANY Limited (XNSE:SHK)</v>
    <v>229251</v>
    <v>1955</v>
  </rv>
  <rv s="2">
    <v>140</v>
  </rv>
  <rv s="0">
    <v>https://www.bing.com/financeapi/forcetrigger?t=ahjv5r&amp;q=XNSE%3aSEQUENT&amp;form=skydnc</v>
    <v>Learn more on Bing</v>
  </rv>
  <rv s="1">
    <v>en-IN</v>
    <v>ahjv5r</v>
    <v>268435456</v>
    <v>1</v>
    <v>Powered by Refinitiv</v>
    <v>0</v>
    <v>SEQUENT SCIENTIFIC LIMITED (XNSE:SEQUENT)</v>
    <v>2</v>
    <v>3</v>
    <v>Finance</v>
    <v>4</v>
    <v>336.5</v>
    <v>144.75</v>
    <v>0.37109999999999999</v>
    <v>-0.2</v>
    <v>-1.2080000000000001E-3</v>
    <v>INR</v>
    <v>SeQuent Scientific Limited is an India-based integrated pharmaceutical company. The Company operates in the domains of animal health and analytical services. The animal health business, Alivira, includes active pharmaceutical ingredient and finished dosage formulations. Its therapies targeted are anthelmintics (endo and ecto parasiticides), anti-protozoals, nutraceuticals, nonsteroidal anti-inflammatory drugs (NSAID), anti-infectives and dermatology. The Company’s analytical solutions business is a contract research organization specialized in analytical and bio analytical services to support the active pharmaceutical ingredient, pharmaceutical, personal care and nutraceutical companies. It provides complete analytical solutions including method validation, stability, microbiology for active pharmaceutical ingredients and finished products in a variety of dosage forms as per pharmacopoeial monographs, customer developed methods or in-house method development.</v>
    <v>797</v>
    <v>National Stock Exchange of India</v>
    <v>XNSE</v>
    <v>XNSE</v>
    <v>Galaxy, Plot No. 30,, 1st Main Road, 3rd Phase, J P Nagar, Bangalore - 560078, Karnataka, BANGALORE, KARNATAKA, 560078 IN</v>
    <v>167.8</v>
    <v>Pharmaceuticals</v>
    <v>Stock</v>
    <v>44571.406354166669</v>
    <v>142</v>
    <v>164</v>
    <v>40870940000</v>
    <v>SEQUENT SCIENTIFIC LIMITED</v>
    <v>SEQUENT SCIENTIFIC LIMITED</v>
    <v>167</v>
    <v>61.19</v>
    <v>165.55</v>
    <v>165.35</v>
    <v>246879700</v>
    <v>SEQUENT</v>
    <v>SEQUENT SCIENTIFIC LIMITED (XNSE:SEQUENT)</v>
    <v>1032317</v>
    <v>1985</v>
  </rv>
  <rv s="2">
    <v>143</v>
  </rv>
  <rv s="0">
    <v>https://www.bing.com/financeapi/forcetrigger?t=ahiabh&amp;q=XNSE%3aINDHOTEL&amp;form=skydnc</v>
    <v>Learn more on Bing</v>
  </rv>
  <rv s="1">
    <v>en-IN</v>
    <v>ahiabh</v>
    <v>268435456</v>
    <v>1</v>
    <v>Powered by Refinitiv</v>
    <v>0</v>
    <v>THE INDIAN HOTELS COMPANY LIMITED (XNSE:INDHOTEL)</v>
    <v>2</v>
    <v>3</v>
    <v>Finance</v>
    <v>4</v>
    <v>230.2</v>
    <v>90.91</v>
    <v>1.306</v>
    <v>8.4499999999999993</v>
    <v>4.5345000000000003E-2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The Company's segments include Hoteliering and Others, which consists of air catering and investing activities. Its area of business includes Taj, Taj Safaris, Vivanta by Taj, The Gateway Hotel, Ginger, and Taj Trade and Transport. Its other areas of business include Taj Air. The Company has approximately 110 hotels in over 60 locations, including over 25 Ginger hotels across India, with an additional approximately 20 international hotels in the Maldives, Malaysia, Australia, the United Kingdom, the United States, Bhutan, Sri Lanka, Africa and the Middle East. Its subsidiaries include TIFCO Holdings Limited, KTC Hotels Limited, Lands End Properties Private Limited and Sheena Investments Private Limited.</v>
    <v>5239</v>
    <v>National Stock Exchange of India</v>
    <v>XNSE</v>
    <v>XNSE</v>
    <v>9Th Floor, Express Towers, Barrister Rajni Patel Marg, Nariman Point, MUMBAI, MAHARASHTRA, 400021 IN</v>
    <v>196.5</v>
    <v>Hotels &amp; Entertainment Services</v>
    <v>Stock</v>
    <v>44571.406342592592</v>
    <v>145</v>
    <v>184</v>
    <v>246241000000</v>
    <v>THE INDIAN HOTELS COMPANY LIMITED</v>
    <v>THE INDIAN HOTELS COMPANY LIMITED</v>
    <v>184</v>
    <v>0</v>
    <v>186.35</v>
    <v>194.8</v>
    <v>1321390000</v>
    <v>INDHOTEL</v>
    <v>THE INDIAN HOTELS COMPANY LIMITED (XNSE:INDHOTEL)</v>
    <v>9636139</v>
    <v>1902</v>
  </rv>
  <rv s="2">
    <v>146</v>
  </rv>
  <rv s="0">
    <v>https://www.bing.com/financeapi/forcetrigger?t=ahhsnm&amp;q=XNSE%3aFSL&amp;form=skydnc</v>
    <v>Learn more on Bing</v>
  </rv>
  <rv s="1">
    <v>en-IN</v>
    <v>ahhsnm</v>
    <v>268435456</v>
    <v>1</v>
    <v>Powered by Refinitiv</v>
    <v>0</v>
    <v>Firstsource Solutions Limited (XNSE:FSL)</v>
    <v>2</v>
    <v>3</v>
    <v>Finance</v>
    <v>4</v>
    <v>242.85</v>
    <v>84.2</v>
    <v>1.3016000000000001</v>
    <v>0.15</v>
    <v>8.2510000000000005E-4</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183.7</v>
    <v>Professional &amp; Commercial Services</v>
    <v>Stock</v>
    <v>44571.406365740739</v>
    <v>148</v>
    <v>181.2</v>
    <v>123804700000</v>
    <v>Firstsource Solutions Limited</v>
    <v>Firstsource Solutions Limited</v>
    <v>182.8</v>
    <v>28.06</v>
    <v>181.8</v>
    <v>181.95</v>
    <v>680994100</v>
    <v>FSL</v>
    <v>Firstsource Solutions Limited (XNSE:FSL)</v>
    <v>2997162</v>
    <v>2001</v>
  </rv>
  <rv s="2">
    <v>149</v>
  </rv>
  <rv s="0">
    <v>https://www.bing.com/financeapi/forcetrigger?t=ahkfnm&amp;q=XNSE%3aTTML&amp;form=skydnc</v>
    <v>Learn more on Bing</v>
  </rv>
  <rv s="1">
    <v>en-IN</v>
    <v>ahkfnm</v>
    <v>268435456</v>
    <v>1</v>
    <v>Powered by Refinitiv</v>
    <v>0</v>
    <v>TATA TELESERVICES (MAHARASHTRA) LIMITED (XNSE:TTML)</v>
    <v>2</v>
    <v>3</v>
    <v>Finance</v>
    <v>4</v>
    <v>276.35000000000002</v>
    <v>7.6</v>
    <v>0.96089999999999998</v>
    <v>13.15</v>
    <v>4.9961999999999999E-2</v>
    <v>INR</v>
    <v>Tata Teleservices (Maharashtra) Limited provides basic and cellular telecommunication services. The Company is engaged in wired and wireless telecommunications activities. The Company holds approximately two unified access (basic and cellular) service licenses, one for Mumbai service area and another for Maharashtra and Goa. The Company also provides telecommunication services using Code Division Multiple Access (CDMA) technology/Global System for Mobile Communications (GSM) technology under the its licenses. The Company also holds third generation (3G) spectrum in Maharashtra and Goa circle (excluding Mumbai). The Company is an integrated player across Technologies, including Wireline; Products, including voice, data and other enterprise services, and Customer segments, including retail, large corporate, and small and medium enterprises. The Company provides its range of products and services to wireline and wireless subscribers under the Tata DOCOMO brand.</v>
    <v>323</v>
    <v>National Stock Exchange of India</v>
    <v>XNSE</v>
    <v>XNSE</v>
    <v>D-26,, TTC Industrial Area,, MIDC, Sanpada,, NAVI MUMBAI, MAHARASHTRA, 400703 IN</v>
    <v>276.35000000000002</v>
    <v>Telecommunications Services</v>
    <v>Stock</v>
    <v>44571.406342592592</v>
    <v>151</v>
    <v>271.10000000000002</v>
    <v>514537000000</v>
    <v>TATA TELESERVICES (MAHARASHTRA) LIMITED</v>
    <v>TATA TELESERVICES (MAHARASHTRA) LIMITED</v>
    <v>276.35000000000002</v>
    <v>0</v>
    <v>263.2</v>
    <v>276.35000000000002</v>
    <v>1954928000</v>
    <v>TTML</v>
    <v>TATA TELESERVICES (MAHARASHTRA) LIMITED (XNSE:TTML)</v>
    <v>2200197</v>
    <v>1995</v>
  </rv>
  <rv s="2">
    <v>152</v>
  </rv>
  <rv s="0">
    <v>https://www.bing.com/financeapi/forcetrigger?t=ahjef2&amp;q=XNSE%3aPETRONET&amp;form=skydnc</v>
    <v>Learn more on Bing</v>
  </rv>
  <rv s="1">
    <v>en-IN</v>
    <v>ahjef2</v>
    <v>268435456</v>
    <v>1</v>
    <v>Powered by Refinitiv</v>
    <v>0</v>
    <v>PETRONET LNG LIMITED (XNSE:PETRONET)</v>
    <v>2</v>
    <v>3</v>
    <v>Finance</v>
    <v>4</v>
    <v>267.22000000000003</v>
    <v>205.16</v>
    <v>0.74529999999999996</v>
    <v>1</v>
    <v>4.4979999999999994E-3</v>
    <v>INR</v>
    <v>Petronet LNG Limited (PLL) is engaged in sale of re-gasified liquefied natural gas (RLNG). The Company is engaged in the import and re-gasification of liquefied natural gas (LNG). The Company operates through the segment of natural gas business. The Company's terminals include Dahej LNG terminal, Kochi LNG terminal, Gangavaram LNG terminal and Solid cargo port. The Company's Dahej LNG terminal is LNG receiving and regasification terminal with an original nameplate capacity of approximately five million metric tons per annum, located at Dahej, Gujarat. The Kochi LNG terminal is LNG receiving, regasification and re loading terminal with nameplate capacity of approximately five million metric tons per annum, located at Kochi, Kerala. . The Company is building a third terminal at Gangavaram, Andhra Pradesh. Solid Cargo Port Terminal has facilities to import/export bulk products, such as coal, steel and fertilizer.</v>
    <v>529</v>
    <v>National Stock Exchange of India</v>
    <v>XNSE</v>
    <v>XNSE</v>
    <v>1st Floor, World Trade Center, Babar Road, Barakhamba Lane, NEW DELHI, DELHI, 110001 IN</v>
    <v>227.9</v>
    <v>Oil &amp; Gas</v>
    <v>Stock</v>
    <v>44571.406354166669</v>
    <v>154</v>
    <v>223</v>
    <v>333450000000</v>
    <v>PETRONET LNG LIMITED</v>
    <v>PETRONET LNG LIMITED</v>
    <v>223</v>
    <v>11.08</v>
    <v>222.3</v>
    <v>223.3</v>
    <v>1500000000</v>
    <v>PETRONET</v>
    <v>PETRONET LNG LIMITED (XNSE:PETRONET)</v>
    <v>3507926</v>
    <v>1998</v>
  </rv>
  <rv s="2">
    <v>155</v>
  </rv>
  <rv s="0">
    <v>https://www.bing.com/financeapi/forcetrigger?t=ahj1u2&amp;q=XNSE%3aMOTHERSUMI&amp;form=skydnc</v>
    <v>Learn more on Bing</v>
  </rv>
  <rv s="1">
    <v>en-IN</v>
    <v>ahj1u2</v>
    <v>268435456</v>
    <v>1</v>
    <v>Powered by Refinitiv</v>
    <v>0</v>
    <v>MOTHERSON SUMI SYSTEMS LIMITED (XNSE:MOTHERSUMI)</v>
    <v>2</v>
    <v>3</v>
    <v>Finance</v>
    <v>4</v>
    <v>272.85000000000002</v>
    <v>143.15</v>
    <v>1.7464999999999999</v>
    <v>1.1000000000000001</v>
    <v>4.6039999999999996E-3</v>
    <v>INR</v>
    <v>Motherson Sumi Systems Limited is a system solutions provider to automotive and other industries, offering services from design and prototyping to production and delivery of solutions across a range of products. The Company's segments are Automotive, which includes product categories, such as wiring harness, high tension cords, wire, plastic components, rubber components, cockpit assembly, scuff plates, thermo-formed products, mold for wiring harness components and mold parts, heating, ventilation and air conditioning (HVAC) modules, plastic molded components and brass terminals, and Non-Automotive, which includes product categories, such as wiring harness, plastic components for white goods, household wires, plates and aerobin. It also has a presence in a range of other polymer, Re-timer light device, elastomer and metal-based parts and systems. The Company caters to a range of customers in the automotive and other industries across Asia, Europe, the Americas, Australia and Africa.</v>
    <v>117862</v>
    <v>National Stock Exchange of India</v>
    <v>XNSE</v>
    <v>XNSE</v>
    <v>C-14 A&amp;B,, Sector-1,, NOIDA, UTTAR PRADESH, 201301 IN</v>
    <v>245.65</v>
    <v>Automobiles &amp; Auto Parts</v>
    <v>Stock</v>
    <v>44571.406377314815</v>
    <v>157</v>
    <v>238.9</v>
    <v>754430500000</v>
    <v>MOTHERSON SUMI SYSTEMS LIMITED</v>
    <v>MOTHERSON SUMI SYSTEMS LIMITED</v>
    <v>241</v>
    <v>50.39</v>
    <v>238.9</v>
    <v>240</v>
    <v>3157934000</v>
    <v>MOTHERSUMI</v>
    <v>MOTHERSON SUMI SYSTEMS LIMITED (XNSE:MOTHERSUMI)</v>
    <v>7473810</v>
    <v>1986</v>
  </rv>
  <rv s="2">
    <v>158</v>
  </rv>
  <rv s="0">
    <v>http://en.wikipedia.org/wiki/ITC_Limited</v>
    <v>Wikipedia</v>
  </rv>
  <rv s="5">
    <v>21</v>
    <v>160</v>
  </rv>
  <rv s="6">
    <v>14</v>
    <v>https://www.bing.com/th?id=AMMS_249b6c3416d9d0337e9d0cdf4d6e4a9f&amp;qlt=95</v>
    <v>161</v>
    <v>0</v>
    <v>https://www.bing.com/images/search?form=xlimg&amp;q=itc+limited</v>
    <v>Image of ITC LIMITED</v>
  </rv>
  <rv s="0">
    <v>https://www.bing.com/financeapi/forcetrigger?t=ahie2w&amp;q=XNSE%3aITC&amp;form=skydnc</v>
    <v>Learn more on Bing</v>
  </rv>
  <rv s="7">
    <v>en-IN</v>
    <v>ahie2w</v>
    <v>268435456</v>
    <v>1</v>
    <v>Powered by Refinitiv</v>
    <v>10</v>
    <v>ITC LIMITED (XNSE:ITC)</v>
    <v>12</v>
    <v>13</v>
    <v>Finance</v>
    <v>4</v>
    <v>265.3</v>
    <v>199.1</v>
    <v>0.71789999999999998</v>
    <v>4.8499999999999996</v>
    <v>2.2206999999999998E-2</v>
    <v>INR</v>
    <v>ITC Limited is a holding company, which is engaged in the marketing of fast moving consumer goods (FMGC). The Company operates through four segments: FMCG; Hotels; Paperboards, Paper and Packaging, and Agri Business. The FMCG segment includes Cigarettes, such as cigarettes and cigars, and Others, such as branded packaged foods businesses (Staples, Snacks and Meals; Dairy and Beverages, and Confections); Apparel; Education and Stationery Products; Personal Care Products; Safety Matches, and Agarbattis. Its Hotels segment includes Hoteliering. Its Paperboards, Paper and Packaging segment includes paperboards; paper, including specialty paper, and packaging, including flexibles. Its Agri Business segment includes Agri commodities, such as soya, spices, coffee and leaf tobacco. Its brands include Aashirvaad, Sunfeast Dark Fantasy, Bingo!, Yumitos, YiPPee!, Candyman, GumOn, Classmate, Fiama Di Wills, Vivel, Superia, Engage, Wills Lifestyle, John Players, Mangaldeep and Aim, among others.</v>
    <v>26017</v>
    <v>National Stock Exchange of India</v>
    <v>XNSE</v>
    <v>XNSE</v>
    <v>Virginia House, 37, J. L. Nehru Road, KOLKATA, WEST BENGAL, 110001 IN</v>
    <v>224.7</v>
    <v>162</v>
    <v>Food &amp; Tobacco</v>
    <v>Stock</v>
    <v>44571.406377314815</v>
    <v>163</v>
    <v>218.9</v>
    <v>2691264000000</v>
    <v>ITC LIMITED</v>
    <v>ITC LIMITED</v>
    <v>219.9</v>
    <v>18.829999999999998</v>
    <v>218.4</v>
    <v>223.25</v>
    <v>12322640000</v>
    <v>ITC</v>
    <v>ITC LIMITED (XNSE:ITC)</v>
    <v>14550754</v>
    <v>1910</v>
  </rv>
  <rv s="2">
    <v>164</v>
  </rv>
  <rv s="0">
    <v>https://www.bing.com/financeapi/forcetrigger?t=ahidkr&amp;q=XNSE%3aANDHRAPAP&amp;form=skydnc</v>
    <v>Learn more on Bing</v>
  </rv>
  <rv s="1">
    <v>en-IN</v>
    <v>ahidkr</v>
    <v>268435456</v>
    <v>1</v>
    <v>Powered by Refinitiv</v>
    <v>0</v>
    <v>ANDHRA PAPER LIMITED (XNSE:ANDHRAPAP)</v>
    <v>2</v>
    <v>3</v>
    <v>Finance</v>
    <v>4</v>
    <v>283.7</v>
    <v>200.55</v>
    <v>1.3557999999999999</v>
    <v>0.9</v>
    <v>4.1089999999999998E-3</v>
    <v>INR</v>
    <v>Andhra Paper Limited is an India-based paper and packaging company. The Company is engaged in the business of manufacture and sale of pulp, paper and paper board for business and home uses through its signature brands, including PRIMAVERA, PRIMAVERA WHITE, SKYTONE, White Choice, STARWHITE and CCS. It produces writing, printing, copier and industrial papers for foreign and domestic markets and offers a range of specialty grade products that are custom engineered to suit specific and a range of applications. It offers a range of office documentation and multipurpose papers, for both home and commercial use. It operates over two manufacturing units at Rajahmundry and Kadiyam. Its unit at Rajahmundry produces approximately 174,000 metric tons (MT) of finished paper and 181,500 MT of bleached pulp annually.</v>
    <v>1869</v>
    <v>National Stock Exchange of India</v>
    <v>XNSE</v>
    <v>XNSE</v>
    <v>Krishe Sapphire Building, 8th Floor, 1-89/3/b/40 to 42/KS/801, Hi-tech City Main Road Madhapur, HYDERABAD, TELANGANA, 500081 IN</v>
    <v>224.35</v>
    <v>Paper &amp; Forest Products</v>
    <v>Stock</v>
    <v>44571.406342592592</v>
    <v>166</v>
    <v>219</v>
    <v>8711627000</v>
    <v>ANDHRA PAPER LIMITED</v>
    <v>ANDHRA PAPER LIMITED</v>
    <v>223</v>
    <v>10.7</v>
    <v>219.05</v>
    <v>219.95</v>
    <v>39770040</v>
    <v>ANDHRAPAP</v>
    <v>ANDHRA PAPER LIMITED (XNSE:ANDHRAPAP)</v>
    <v>11393</v>
    <v>1964</v>
  </rv>
  <rv s="2">
    <v>167</v>
  </rv>
  <rv s="0">
    <v>http://fr.wikipedia.org/wiki/Tata_Power</v>
    <v>Wikipedia</v>
  </rv>
  <rv s="5">
    <v>21</v>
    <v>169</v>
  </rv>
  <rv s="6">
    <v>14</v>
    <v>https://www.bing.com/th?id=AMMS_ea242949a9ca389521cba1d7a9e8cb7e&amp;qlt=95</v>
    <v>170</v>
    <v>0</v>
    <v>https://www.bing.com/images/search?form=xlimg&amp;q=tata+power</v>
    <v>Image of THE TATA POWER COMPANY LIMITED</v>
  </rv>
  <rv s="0">
    <v>https://www.bing.com/financeapi/forcetrigger?t=ahka4c&amp;q=XNSE%3aTATAPOWER&amp;form=skydnc</v>
    <v>Learn more on Bing</v>
  </rv>
  <rv s="7">
    <v>en-IN</v>
    <v>ahka4c</v>
    <v>268435456</v>
    <v>1</v>
    <v>Powered by Refinitiv</v>
    <v>10</v>
    <v>THE TATA POWER COMPANY LIMITED (XNSE:TATAPOWER)</v>
    <v>12</v>
    <v>13</v>
    <v>Finance</v>
    <v>4</v>
    <v>267.85000000000002</v>
    <v>74.45</v>
    <v>1.1232</v>
    <v>1.95</v>
    <v>8.4860000000000005E-3</v>
    <v>INR</v>
    <v>The Tata Power Company Limited is an integrated power company. The Company's principal businesses are in the areas of generation, transmission, distribution-cum-retail, power trading, power services, coal mines and logistics, strategic engineering for defense applications, solar photovoltaic (PV) manufacturing, and engineering, procurement and construction (EPC) services. The Company's segments include Power, Coal and Others. The Power segment includes generation, transmission, distribution and trading of electricity. The Coal segment includes mining and trading. The Others segment includes defense engineering, solar equipment, project contracts/infrastructure management services, investment, shipping and property development. The Company has an operational generation capacity of approximately 9,180 megawatts based on various fuel sources, such as thermal (coal, gas and oil), hydroelectric power, renewable energy (wind and solar PV) and waste heat recovery.</v>
    <v>2673</v>
    <v>National Stock Exchange of India</v>
    <v>XNSE</v>
    <v>XNSE</v>
    <v>Bombay House,, 24, Homi Mody Street,, MUMBAI, MAHARASHTRA, 400001 IN</v>
    <v>233.45</v>
    <v>171</v>
    <v>Electrical Utilities &amp; IPPs</v>
    <v>Stock</v>
    <v>44571.406354166669</v>
    <v>172</v>
    <v>230.4</v>
    <v>734289000000</v>
    <v>THE TATA POWER COMPANY LIMITED</v>
    <v>THE TATA POWER COMPANY LIMITED</v>
    <v>230.95</v>
    <v>43.97</v>
    <v>229.8</v>
    <v>231.75</v>
    <v>3195340000</v>
    <v>TATAPOWER</v>
    <v>THE TATA POWER COMPANY LIMITED (XNSE:TATAPOWER)</v>
    <v>20209940</v>
    <v>1919</v>
  </rv>
  <rv s="2">
    <v>173</v>
  </rv>
  <rv s="0">
    <v>https://www.bing.com/financeapi/forcetrigger?t=ahgqzr&amp;q=XNSE%3aACE&amp;form=skydnc</v>
    <v>Learn more on Bing</v>
  </rv>
  <rv s="1">
    <v>en-IN</v>
    <v>ahgqzr</v>
    <v>268435456</v>
    <v>1</v>
    <v>Powered by Refinitiv</v>
    <v>0</v>
    <v>ACTION CONSTRUCTION EQUIPMENT LIMITED (XNSE:ACE)</v>
    <v>2</v>
    <v>3</v>
    <v>Finance</v>
    <v>4</v>
    <v>291.75</v>
    <v>125.1</v>
    <v>2.4102999999999999</v>
    <v>2.25</v>
    <v>9.7509999999999993E-3</v>
    <v>INR</v>
    <v>Action Construction Equipment Ltd. is an India-based material handling and construction equipment manufacturing company. The Company is engaged in manufacturing general purpose and special purpose machinery. The Company operates through segments, including cranes, material handling/construction equipment, and agri equipment. The Company offers mobile cranes and tower cranes. The Company also offers mobile and fixed tower cranes, crawler cranes, truck mounted cranes, lorry loaders, backhoe loaders and loaders, vibratory rollers, forklifts, tractors and harvesters, and other construction equipment. The Company's production facilities are located at industrial townships of Faridabad, Haryana, and Kashipur, Uttarakhand. Its products are applicable in power projects, ports and shipyards, dams, metro rail, roads, mining, steel industry, engineering industry, railways, cement, petroleum, defense, warehousing, logistics and building construction, among others.</v>
    <v>1111</v>
    <v>National Stock Exchange of India</v>
    <v>XNSE</v>
    <v>XNSE</v>
    <v>Dudhola Link Road, Dudhola, District-Palwal, 121102 IN</v>
    <v>237.1</v>
    <v>Machinery, Equipment &amp; Components</v>
    <v>Stock</v>
    <v>44571.406307870369</v>
    <v>175</v>
    <v>232.05</v>
    <v>27478450000</v>
    <v>ACTION CONSTRUCTION EQUIPMENT LIMITED</v>
    <v>ACTION CONSTRUCTION EQUIPMENT LIMITED</v>
    <v>232.55</v>
    <v>23.45</v>
    <v>230.75</v>
    <v>233</v>
    <v>119083200</v>
    <v>ACE</v>
    <v>ACTION CONSTRUCTION EQUIPMENT LIMITED (XNSE:ACE)</v>
    <v>518453</v>
    <v>1995</v>
  </rv>
  <rv s="2">
    <v>176</v>
  </rv>
  <rv s="0">
    <v>https://www.bing.com/financeapi/forcetrigger?t=ahkdm7&amp;q=XNSE%3aTINPLATE&amp;form=skydnc</v>
    <v>Learn more on Bing</v>
  </rv>
  <rv s="1">
    <v>en-IN</v>
    <v>ahkdm7</v>
    <v>268435456</v>
    <v>1</v>
    <v>Powered by Refinitiv</v>
    <v>0</v>
    <v>THE TINPLATE COMPANY OF INDIA LTD (XNSE:TINPLATE)</v>
    <v>2</v>
    <v>3</v>
    <v>Finance</v>
    <v>4</v>
    <v>348</v>
    <v>146.1</v>
    <v>1.4477</v>
    <v>9.85</v>
    <v>3.3429E-2</v>
    <v>INR</v>
    <v>The Tinplate Company of India Limited (TCIL) is an India-based producer of tin coated and tin free sheets. The Company manufactures various grades of electrolytic tinplates, tin-free steel sheets and full hard cold rolled sheets (FHCR) used for metal packaging. The Company's product range includes Electrolytic Tinplate (ETP) line and Cold Rolling Mill (CRM) products. The Electrolytic Tinplate line products include single reduced tinplates, Open Top Sanitary Cans (OTSC), tin free steel and double reduced tinplate sheets. The CRM products include hot rolled pickled coils, full hard coils and temper rolled/double reduced (Dr) coils. The Company's works is located at Jamshedpur, Jharkhand and has over 11 offices in India and a distribution network with approximately 20 stocking points.</v>
    <v>1383</v>
    <v>National Stock Exchange of India</v>
    <v>XNSE</v>
    <v>XNSE</v>
    <v>4, Bankshall Street,, KOLKATA, WEST BENGAL, 700001 IN</v>
    <v>309.85000000000002</v>
    <v>Metals &amp; Mining</v>
    <v>Stock</v>
    <v>44571.406342592592</v>
    <v>178</v>
    <v>295</v>
    <v>30840320000</v>
    <v>THE TINPLATE COMPANY OF INDIA LTD</v>
    <v>THE TINPLATE COMPANY OF INDIA LTD</v>
    <v>296.89999999999998</v>
    <v>13.25</v>
    <v>294.64999999999998</v>
    <v>304.5</v>
    <v>104667600</v>
    <v>TINPLATE</v>
    <v>THE TINPLATE COMPANY OF INDIA LTD (XNSE:TINPLATE)</v>
    <v>922609</v>
    <v>1920</v>
  </rv>
  <rv s="2">
    <v>179</v>
  </rv>
  <rv s="0">
    <v>https://www.bing.com/financeapi/forcetrigger?t=ahjloc&amp;q=XNSE%3aRALLIS&amp;form=skydnc</v>
    <v>Learn more on Bing</v>
  </rv>
  <rv s="1">
    <v>en-IN</v>
    <v>ahjloc</v>
    <v>268435456</v>
    <v>1</v>
    <v>Powered by Refinitiv</v>
    <v>0</v>
    <v>RALLIS INDIA LIMITED (XNSE:RALLIS)</v>
    <v>2</v>
    <v>3</v>
    <v>Finance</v>
    <v>4</v>
    <v>362.6</v>
    <v>242.35</v>
    <v>0.80020000000000002</v>
    <v>4.4000000000000004</v>
    <v>1.5993999999999998E-2</v>
    <v>INR</v>
    <v>Rallis India Limited is engaged in the business of manufacture and marketing of Agri Inputs. The Company has its manufacturing facilities in India and sells both in India and across the globe. The Company's segments include Agri-Inputs and Others. The Agri-Inputs segment consists of Pesticides, Plant Growth Nutrients (PGN) and Seeds. The Other segment consists of Polymer. The Company's Non-Pesticide Portfolio includes Agri Services. Its Agri Services portfolio consists of the organic manure product GeoGreen, Samrudh Krishi (SK) initiative, MoPu (More Pulses) initiative and agri implements. The Company's products for crop protection, such as fungicides, including Contaf, Contaf Plus, Master and Fujione; weedicides, including Fateh, Tata Metri, Tata Panida, and insecticides, including Tata Mida, Reeva, Asataf and Manik. The Company also offers various category of products, including hybrid maize, hybrid paddy, hybrid pearl millet, mustard and wheat.</v>
    <v>1700</v>
    <v>National Stock Exchange of India</v>
    <v>XNSE</v>
    <v>XNSE</v>
    <v>2nd Floor, Sharda Terraces,, Plot No. 65,Sector 11 CBD Belapur, NAVI MUMBAI, MAHARASHTRA, 400614 IN</v>
    <v>280.85000000000002</v>
    <v>Chemicals</v>
    <v>Stock</v>
    <v>44571.406342592592</v>
    <v>181</v>
    <v>275.75</v>
    <v>53498390000</v>
    <v>RALLIS INDIA LIMITED</v>
    <v>RALLIS INDIA LIMITED</v>
    <v>276.89999999999998</v>
    <v>27.78</v>
    <v>275.10000000000002</v>
    <v>279.5</v>
    <v>194468900</v>
    <v>RALLIS</v>
    <v>RALLIS INDIA LIMITED (XNSE:RALLIS)</v>
    <v>493500</v>
    <v>1948</v>
  </rv>
  <rv s="2">
    <v>182</v>
  </rv>
  <rv s="0">
    <v>https://www.bing.com/financeapi/forcetrigger?t=ahk2lh&amp;q=XNSE%3aSPARC&amp;form=skydnc</v>
    <v>Learn more on Bing</v>
  </rv>
  <rv s="1">
    <v>en-IN</v>
    <v>ahk2lh</v>
    <v>268435456</v>
    <v>1</v>
    <v>Powered by Refinitiv</v>
    <v>0</v>
    <v>SUN PHARMA ADVANCED RESEARCH COMPANY LIMITED (XNSE:SPARC)</v>
    <v>2</v>
    <v>3</v>
    <v>Finance</v>
    <v>4</v>
    <v>333.7</v>
    <v>141</v>
    <v>1.3115000000000001</v>
    <v>-10.050000000000001</v>
    <v>-3.0720000000000001E-2</v>
    <v>INR</v>
    <v>Sun Pharma Advanced Research Company Limited is engaged in the research and experimental development on natural sciences and engineering (Pharmacy). The Company operates through Pharmaceuticals Research &amp; Development segment. Its programs include Xelpros, Elepsia XR, Baclofen GRS, Paclitaxel Injection Concentrate for Nanodispersion (Taclantis), Salmeterol - Fluticasone Dry Powder Inhaler (DPI), SUN-K706, Brimonidine OD, Tizanidine ER, Minocycline Topical and SUN-597 Topical. Xelpros is a Benzalkonium Chloride (BAK)-free Latanoprost eye drops developed with its Swollen Micelle Microemulsion (SMM) technology. Elepsia XR is a once-a-day formulation of Levetiracetam, an antiepileptic agent. Baclofen GRS is a once-a-day formulation of Baclofen, a centrally acting, antispasmodic drug. Taclantis is a Cremophor and Albumin free formulation. Its DPI is a premetered, 60 doses, breath activated device to administer combination of Salmeterol and Fluticasone by inhalation.</v>
    <v>410</v>
    <v>National Stock Exchange of India</v>
    <v>XNSE</v>
    <v>XNSE</v>
    <v>17B Mahal Industrial Estate, Mahakali Caves Road, Andheri (East), MUMBAI, MAHARASHTRA, 400093 IN</v>
    <v>333.7</v>
    <v>Biotechnology &amp; Medical Research</v>
    <v>Stock</v>
    <v>44571.406342592592</v>
    <v>184</v>
    <v>316.3</v>
    <v>86188320000</v>
    <v>SUN PHARMA ADVANCED RESEARCH COMPANY LIMITED</v>
    <v>SUN PHARMA ADVANCED RESEARCH COMPANY LIMITED</v>
    <v>332</v>
    <v>0</v>
    <v>327.14999999999998</v>
    <v>317.10000000000002</v>
    <v>263452000</v>
    <v>SPARC</v>
    <v>SUN PHARMA ADVANCED RESEARCH COMPANY LIMITED (XNSE:SPARC)</v>
    <v>2106423</v>
    <v>2006</v>
  </rv>
  <rv s="2">
    <v>185</v>
  </rv>
  <rv s="0">
    <v>https://www.bing.com/financeapi/forcetrigger?t=ahin52&amp;q=XNSE%3aKNRCON&amp;form=skydnc</v>
    <v>Learn more on Bing</v>
  </rv>
  <rv s="1">
    <v>en-IN</v>
    <v>ahin52</v>
    <v>268435456</v>
    <v>1</v>
    <v>Powered by Refinitiv</v>
    <v>0</v>
    <v>KNR CONSTRUCTIONS LIMITED (XNSE:KNRCON)</v>
    <v>2</v>
    <v>3</v>
    <v>Finance</v>
    <v>4</v>
    <v>343.9</v>
    <v>164.83</v>
    <v>1.2002999999999999</v>
    <v>21.95</v>
    <v>7.4927000000000007E-2</v>
    <v>INR</v>
    <v>KNR Constructions Limited is an India-based holding company. The Company is a multi-domain infrastructure project development company. The Company undertakes engineering, procurement and construction (EPC) contracts, as well as build-operate-transfer (BOT) projects across various sectors, such as construction and maintenance of roads, highways, flyovers and bridges. Its range of verticals also include irrigation projects, water management, agriculture and trading business. It has completed approximately 5,890 kilometers of projects across over 10 states in India. Its urban water infrastructure management project is Challaghatta Main Valley Project, which involves the remodeling of primary and secondary storm drains, bridges/culverts and related works in Challaghatta Main Valley in Bangalore City. The Company's irrigation and water management projects include Shankara Samudram Balancing Reservoir, Eastern Kosi Canal system, Reservoir across Mathadivagu and Budpur Balancing Reservoir.</v>
    <v>2162</v>
    <v>National Stock Exchange of India</v>
    <v>XNSE</v>
    <v>XNSE</v>
    <v>KNR House, 3rd &amp; 4th Floor, Plot No. 114, Phase - I, Kavuri Hills, HYDERABAD, TELANGANA, 500033 IN</v>
    <v>318</v>
    <v>Construction &amp; Engineering</v>
    <v>Stock</v>
    <v>44571.406354166669</v>
    <v>187</v>
    <v>293.64999999999998</v>
    <v>82387680000</v>
    <v>KNR CONSTRUCTIONS LIMITED</v>
    <v>KNR CONSTRUCTIONS LIMITED</v>
    <v>293.7</v>
    <v>20.84</v>
    <v>292.95</v>
    <v>314.89999999999998</v>
    <v>281234600</v>
    <v>KNRCON</v>
    <v>KNR CONSTRUCTIONS LIMITED (XNSE:KNRCON)</v>
    <v>1793801</v>
    <v>1995</v>
  </rv>
  <rv s="2">
    <v>188</v>
  </rv>
  <rv s="0">
    <v>https://www.bing.com/financeapi/forcetrigger?t=ahiimw&amp;q=XNSE%3aJSWENERGY&amp;form=skydnc</v>
    <v>Learn more on Bing</v>
  </rv>
  <rv s="1">
    <v>en-IN</v>
    <v>ahiimw</v>
    <v>268435456</v>
    <v>1</v>
    <v>Powered by Refinitiv</v>
    <v>0</v>
    <v>JSW ENERGY LIMITED (XNSE:JSWENERGY)</v>
    <v>2</v>
    <v>3</v>
    <v>Finance</v>
    <v>4</v>
    <v>408</v>
    <v>66</v>
    <v>0.95179999999999998</v>
    <v>10.45</v>
    <v>3.3988999999999998E-2</v>
    <v>INR</v>
    <v>JSW Energy Limited is a holding company. The Company is an integrated power company primarily engaged in generation and sale of power. Its business segments include Power Generation, Power Transmission, Mining, Power Trading and Equipment Manufacturing. Its projects include Kutehr hydro Project, which is located at Kutehr, Himachal Pradesh; Kapurdi Mine, and Jalipa Mine. It operates approximately 4,530 megawatts (MW) of power generation capacity. Its Karcham Project is approximately 1,000 MW (4X250 MW) run of the river hydro power plant in Kinnaur district of Himachal Pradesh. The Karcham Project has in-built capacity of over 1,091 MW. The Company's approximately 300 MW (3X100 MW) Baspa Project is located on the river Baspa, a tributary of river Satluj in district Kinnaur, Himachal Pradesh. The design energy of Baspa Project is over 1,050 million units (MUs) for approximately 300 MW capacities. Its plants include Vijayanagar Plant, Ratnagiri Plant, Barmer Plant and Himachal Plant.</v>
    <v>1578</v>
    <v>National Stock Exchange of India</v>
    <v>XNSE</v>
    <v>XNSE</v>
    <v>JSW Centre, Bandra Kurla Complex, Bandra (East), MUMBAI, MAHARASHTRA, 400051 IN</v>
    <v>318</v>
    <v>Electrical Utilities &amp; IPPs</v>
    <v>Stock</v>
    <v>44571.406331018516</v>
    <v>190</v>
    <v>306.5</v>
    <v>504282800000</v>
    <v>JSW ENERGY LIMITED</v>
    <v>JSW ENERGY LIMITED</v>
    <v>307.45</v>
    <v>65.540000000000006</v>
    <v>307.45</v>
    <v>317.89999999999998</v>
    <v>1640211000</v>
    <v>JSWENERGY</v>
    <v>JSW ENERGY LIMITED (XNSE:JSWENERGY)</v>
    <v>377790</v>
    <v>1994</v>
  </rv>
  <rv s="2">
    <v>191</v>
  </rv>
  <rv s="0">
    <v>https://www.bing.com/financeapi/forcetrigger?t=ahi65r&amp;q=XNSE%3aHINDZINC&amp;form=skydnc</v>
    <v>Learn more on Bing</v>
  </rv>
  <rv s="1">
    <v>en-IN</v>
    <v>ahi65r</v>
    <v>268435456</v>
    <v>1</v>
    <v>Powered by Refinitiv</v>
    <v>0</v>
    <v>HINDUSTAN ZINC LIMITED (XNSE:HINDZINC)</v>
    <v>2</v>
    <v>3</v>
    <v>Finance</v>
    <v>4</v>
    <v>408.6</v>
    <v>240.5</v>
    <v>0.58550000000000002</v>
    <v>-2.0499999999999998</v>
    <v>-6.156E-3</v>
    <v>INR</v>
    <v>Hindustan Zinc Limited (HZL) is an India-based company, which is engaged in the mining and smelting of zinc, lead and silver metal in India. The Company's segments are Mining and smelting of zinc, lead and silver, and Wind energy. The Company's operations include approximately five zinc-lead mines, over four zinc smelters, a lead smelter, a zinc-lead smelter, approximately seven sulfuric acid plants, a silver refinery plant and over six captive power plants in the state of Rajasthan. In addition, the Company also has a rock-phosphate mine in Maton near Udaipur in Rajasthan and zinc, lead, silver processing and refining facilities in the State of Uttarakhand. The Company also has wind power plants in the States of Rajasthan, Gujarat, Karnataka, Tamil Nadu and Maharashtra. It has a metal production capacity of over one million tons per annum with its key lead-zinc mines in Rampura Agucha and Sindesar Khurd, and smelting complexes in Chanderiya and Dariba, all in the state of Rajasthan.</v>
    <v>3719</v>
    <v>National Stock Exchange of India</v>
    <v>XNSE</v>
    <v>XNSE</v>
    <v>Yashad Bhawan, UDAIPUR, RAJASTHAN, 313004 IN</v>
    <v>334.95</v>
    <v>Metals &amp; Mining</v>
    <v>Stock</v>
    <v>44571.406365740739</v>
    <v>193</v>
    <v>329.5</v>
    <v>1407031000000</v>
    <v>HINDUSTAN ZINC LIMITED</v>
    <v>HINDUSTAN ZINC LIMITED</v>
    <v>334</v>
    <v>16.36</v>
    <v>333</v>
    <v>330.95</v>
    <v>4225319000</v>
    <v>HINDZINC</v>
    <v>HINDUSTAN ZINC LIMITED (XNSE:HINDZINC)</v>
    <v>289204</v>
    <v>1966</v>
  </rv>
  <rv s="2">
    <v>194</v>
  </rv>
  <rv s="0">
    <v>https://www.bing.com/financeapi/forcetrigger?t=ahjhr7&amp;q=XNSE%3aPRAJIND&amp;form=skydnc</v>
    <v>Learn more on Bing</v>
  </rv>
  <rv s="1">
    <v>en-IN</v>
    <v>ahjhr7</v>
    <v>268435456</v>
    <v>1</v>
    <v>Powered by Refinitiv</v>
    <v>0</v>
    <v>PRAJ INDUSTRIES LIMITED (XNSE:PRAJIND)</v>
    <v>2</v>
    <v>3</v>
    <v>Finance</v>
    <v>4</v>
    <v>407</v>
    <v>110</v>
    <v>1.3143</v>
    <v>5.65</v>
    <v>1.5192000000000001E-2</v>
    <v>INR</v>
    <v>Praj Industries Limited is engaged in the business of process and project engineering. The Company is engaged in the manufacture of other special-purpose machinery not elsewhere classified (n.e.c). The Company also provides design and engineering services. It offers solutions for beverage alcohol and bioethanol plant, brewery, water and wastewater treatment plant, critical process equipment and systems, and bio products. It provides solutions for various grades of ethanol, including beverage, fuel, industrial, pharma and perfumery, and brewery plants. Its business lines include ethanol plants, brewery plants, water and wastewater, process equipment and systems, high purity systems, bioproduct, and customized research services and solutions (CRSS). Its critical process equipment system serves a range of industries, such as oil and gas, petrochemical, fertilizer and chemicals industry. Its water and wastewater treatment plant includes recycle, reuse and zero liquid discharge plants.</v>
    <v>940</v>
    <v>National Stock Exchange of India</v>
    <v>XNSE</v>
    <v>XNSE</v>
    <v>"Praj Tower" 274 &amp; 275/2, Bhumkar Chowk,, Hinjewadi Road,, Hinjewadi, PUNE, MAHARASHTRA, 411057 IN</v>
    <v>381</v>
    <v>Construction &amp; Engineering</v>
    <v>Stock</v>
    <v>44571.406377314815</v>
    <v>196</v>
    <v>373</v>
    <v>68308020000</v>
    <v>PRAJ INDUSTRIES LIMITED</v>
    <v>PRAJ INDUSTRIES LIMITED</v>
    <v>378</v>
    <v>50.34</v>
    <v>371.9</v>
    <v>377.55</v>
    <v>183673100</v>
    <v>PRAJIND</v>
    <v>PRAJ INDUSTRIES LIMITED (XNSE:PRAJIND)</v>
    <v>1114680</v>
    <v>1985</v>
  </rv>
  <rv s="2">
    <v>197</v>
  </rv>
  <rv s="0">
    <v>https://www.bing.com/financeapi/forcetrigger?t=ahjpoc&amp;q=XNSE%3aNAM-INDIA&amp;form=skydnc</v>
    <v>Learn more on Bing</v>
  </rv>
  <rv s="1">
    <v>en-IN</v>
    <v>ahjpoc</v>
    <v>268435456</v>
    <v>1</v>
    <v>Powered by Refinitiv</v>
    <v>0</v>
    <v>NIPPON LIFE INDIA ASSET MANAGEMENT LIMITED (XNSE:NAM-INDIA)</v>
    <v>2</v>
    <v>3</v>
    <v>Finance</v>
    <v>4</v>
    <v>476.45</v>
    <v>270</v>
    <v>0.92889999999999995</v>
    <v>8.4499999999999993</v>
    <v>2.3883999999999999E-2</v>
    <v>INR</v>
    <v>Nippon Life India Asset Management Limited, formerly Reliance Nippon Life Asset Management Limited, is an India-based asset management company. The Company is the asset manager of Nippon India Mutual Fund (NIMF). It also provides advisory services to its offshore clients. The subsidiaries of the Company include Reliance AIF Management Company Limited, Nippon Life India Asset Management (Singapore) Pte. Ltd and Reliance Asset Management (Mauritius) Limited. Reliance AIF Management Company Limited acts as investment manager and advisor of alternative investment funds.</v>
    <v>991</v>
    <v>National Stock Exchange of India</v>
    <v>XNSE</v>
    <v>XNSE</v>
    <v>4th Floor, Tower A, Peninsula Business Park, Ganapatrao Kadam Marg, Lower Parel (W), MUMBAI, MAHARASHTRA, 400013 IN</v>
    <v>365</v>
    <v>Investment Banking &amp; Investment Services</v>
    <v>Stock</v>
    <v>44571.406377314815</v>
    <v>199</v>
    <v>355.45</v>
    <v>220030200000</v>
    <v>NIPPON LIFE INDIA ASSET MANAGEMENT LIMITED</v>
    <v>NIPPON LIFE INDIA ASSET MANAGEMENT LIMITED</v>
    <v>357</v>
    <v>28.22</v>
    <v>353.8</v>
    <v>362.25</v>
    <v>621905600</v>
    <v>NAM-INDIA</v>
    <v>NIPPON LIFE INDIA ASSET MANAGEMENT LIMITED (XNSE:NAM-INDIA)</v>
    <v>818364</v>
    <v>1995</v>
  </rv>
  <rv s="2">
    <v>200</v>
  </rv>
  <rv s="0">
    <v>https://www.bing.com/financeapi/forcetrigger?t=ahh7zr&amp;q=XNSE%3aBIOCON&amp;form=skydnc</v>
    <v>Learn more on Bing</v>
  </rv>
  <rv s="1">
    <v>en-IN</v>
    <v>ahh7zr</v>
    <v>268435456</v>
    <v>1</v>
    <v>Powered by Refinitiv</v>
    <v>0</v>
    <v>BIOCON LIMITED (XNSE:BIOCON)</v>
    <v>2</v>
    <v>3</v>
    <v>Finance</v>
    <v>4</v>
    <v>474.35</v>
    <v>314.8</v>
    <v>0.59830000000000005</v>
    <v>-0.4</v>
    <v>-1.116E-3</v>
    <v>INR</v>
    <v>Biocon Limited is a biopharmaceutical company. The Company focuses to reduce therapy costs of chronic diseases like autoimmune, diabetes, and cancer. Through its products and research services it is enabling access to affordable healthcare for patients, partners and healthcare systems across the globe. The Company has developed and taken a range of Novel Biologics, Biosimilars, differentiated Small Molecules and affordable Recombinant Human Insulin and Analogs from Lab to Market. The Company’s brands include INSUGEN (rh-insulin), BASALOG (Glargine), CANMAb (Trastuzumab), BIOMAb-EGFR (Nimotuzumab) and ALZUMAb (Itolizumab), an anti-CD6 monoclonal antibody. It has a pipeline of Biosimilars and Novel Biologics at various stages of development, including Insulin Tregopil, an oral insulin analog.</v>
    <v>3032</v>
    <v>National Stock Exchange of India</v>
    <v>XNSE</v>
    <v>XNSE</v>
    <v>20th KM, Hosur Road, Electronics City, BANGALORE, KARNATAKA, 560100 IN</v>
    <v>359.25</v>
    <v>Biotechnology &amp; Medical Research</v>
    <v>Stock</v>
    <v>44571.406365740739</v>
    <v>202</v>
    <v>353.55</v>
    <v>430415100000</v>
    <v>BIOCON LIMITED</v>
    <v>BIOCON LIMITED</v>
    <v>356.8</v>
    <v>66.06</v>
    <v>358.5</v>
    <v>358.1</v>
    <v>1200600000</v>
    <v>BIOCON</v>
    <v>BIOCON LIMITED (XNSE:BIOCON)</v>
    <v>1733653</v>
    <v>1978</v>
  </rv>
  <rv s="2">
    <v>203</v>
  </rv>
  <rv s="0">
    <v>https://www.bing.com/financeapi/forcetrigger?t=ahgv6h&amp;q=XNSE%3aAMBUJACEM&amp;form=skydnc</v>
    <v>Learn more on Bing</v>
  </rv>
  <rv s="1">
    <v>en-IN</v>
    <v>ahgv6h</v>
    <v>268435456</v>
    <v>1</v>
    <v>Powered by Refinitiv</v>
    <v>0</v>
    <v>AMBUJA CEMENTS LIMITED (XNSE:AMBUJACEM)</v>
    <v>2</v>
    <v>3</v>
    <v>Finance</v>
    <v>4</v>
    <v>442.5</v>
    <v>241.75</v>
    <v>0.7994</v>
    <v>2</v>
    <v>5.0349999999999995E-3</v>
    <v>INR</v>
    <v>Ambuja Cements Limited is an India-based holding company, which is engaged in the manufacture of clinkers and cement. The Company operates through Cement and cement related products segment. The Company has a range of products for the business to business and retail markets. The Company's product, Ambuja Plus Roof Special, is suited for constructing roofs and slabs. It also offers install rooftop rainwater harvesting technology. Its products also include Ambuja Powercem, which caters the ready-mix (RMX) sector; Ambuja Railcem, which is designed for railways, and Ambuja Buildcem, which serves the requirements of the mass housing segment. The Company also co-owns two brands in micro materials category. These include Alccofine, which includes a range of micro slag materials, and Dirk Pozzocrete, which includes superfine fly ash. Alccofine Micro Materials are used in construction projects, such as metro rail, dams, roads, flyovers, bridges and tunnels.</v>
    <v>4792</v>
    <v>National Stock Exchange of India</v>
    <v>XNSE</v>
    <v>XNSE</v>
    <v>Elegant Business Park, MIDC Cross Road 'B', Off Andheri Kurla Road Andheri (East), MUMBAI, MAHARASHTRA, 400059 IN</v>
    <v>401.95</v>
    <v>Construction Materials</v>
    <v>Stock</v>
    <v>44571.4062962963</v>
    <v>205</v>
    <v>397.3</v>
    <v>788797600000</v>
    <v>AMBUJA CEMENTS LIMITED</v>
    <v>AMBUJA CEMENTS LIMITED</v>
    <v>400</v>
    <v>24.49</v>
    <v>397.25</v>
    <v>399.25</v>
    <v>1985645000</v>
    <v>AMBUJACEM</v>
    <v>AMBUJA CEMENTS LIMITED (XNSE:AMBUJACEM)</v>
    <v>2222672</v>
    <v>1981</v>
  </rv>
  <rv s="2">
    <v>206</v>
  </rv>
  <rv s="0">
    <v>https://www.bing.com/financeapi/forcetrigger?t=ahh9h7&amp;q=XNSE%3aBPCL&amp;form=skydnc</v>
    <v>Learn more on Bing</v>
  </rv>
  <rv s="1">
    <v>en-IN</v>
    <v>ahh9h7</v>
    <v>268435456</v>
    <v>1</v>
    <v>Powered by Refinitiv</v>
    <v>0</v>
    <v>BHARAT PETROLEUM CORPORATION LIMITED (XNSE:BPCL)</v>
    <v>2</v>
    <v>3</v>
    <v>Finance</v>
    <v>4</v>
    <v>470</v>
    <v>349.38</v>
    <v>1.2284999999999999</v>
    <v>1.05</v>
    <v>2.65E-3</v>
    <v>INR</v>
    <v>Bharat Petroleum Corporation Limited is engaged in offering motor spirit (MS), high speed diesel (HSD) and liquefied petroleum gas (LPG). The Company is engaged in the business of refining of crude oil and marketing of petroleum products. It operates through two segments: Downstream petroleum, and Exploration and Production of Hydrocarbons (E&amp;P). The Downstream petroleum segment includes refining and marketing of petroleum products. It is engaged in the production of liquid and gaseous fuels, illuminating oils, lubricating oils or greases or other products from crude petroleum or bituminous minerals. The Company also manufactures other petroleum products, including petroleum bitumen and other residues of petroleum oils or of oils obtained from bituminous minerals. It has refineries at Mumbai and Kochi, LPG bottling plants and lube blending plants. Its marketing infrastructure includes network of installations, depots, retail outlets, aviation service stations and LPG distributors.</v>
    <v>9251</v>
    <v>National Stock Exchange of India</v>
    <v>XNSE</v>
    <v>XNSE</v>
    <v>Bharath Bhavan, Belosd, Po.Box No.688, NAGPUR, MAHARASHTRA IN</v>
    <v>399.7</v>
    <v>Oil &amp; Gas</v>
    <v>Stock</v>
    <v>44571.406354166669</v>
    <v>208</v>
    <v>395.6</v>
    <v>856749100000</v>
    <v>BHARAT PETROLEUM CORPORATION LIMITED</v>
    <v>BHARAT PETROLEUM CORPORATION LIMITED</v>
    <v>399</v>
    <v>4.5</v>
    <v>396.2</v>
    <v>397.25</v>
    <v>2162416000</v>
    <v>BPCL</v>
    <v>BHARAT PETROLEUM CORPORATION LIMITED (XNSE:BPCL)</v>
    <v>1866755</v>
    <v>1952</v>
  </rv>
  <rv s="2">
    <v>209</v>
  </rv>
  <rv s="0">
    <v>https://www.bing.com/financeapi/forcetrigger?t=ahk6u2&amp;q=XNSE%3aSUPRAJIT&amp;form=skydnc</v>
    <v>Learn more on Bing</v>
  </rv>
  <rv s="1">
    <v>en-IN</v>
    <v>ahk6u2</v>
    <v>268435456</v>
    <v>1</v>
    <v>Powered by Refinitiv</v>
    <v>0</v>
    <v>SUPRAJIT ENGINEERING LIMITED (XNSE:SUPRAJIT)</v>
    <v>2</v>
    <v>3</v>
    <v>Finance</v>
    <v>4</v>
    <v>474.9</v>
    <v>198.1</v>
    <v>1.165</v>
    <v>-6.65</v>
    <v>-1.49E-2</v>
    <v>INR</v>
    <v>Suprajit Engineering Limited is an India-based company engaged in offering automotive cables, speedometers and automotive components/parts. The Company is engaged in the business of manufacturing of auto components consisting mainly control cables, speedo cables and other components for automobiles. The Company's plants are located at Bengaluru, Karnataka; Manesar, Haryana; Chakan, Maharashtra; Vapi, Gujarat; Pantnagar, Uttarakhand; Haridwar, Uttarakhand; Sanand, Gujarat; Pathredi, Rajasthan, and Chennai, Tamil Nadu. The Company supplies its products to the original equipment manufacturers (OEMs). The Company also exports its products to various countries. The Company caters to a range of automotive and non-automotive cable requirements. The Company has an annual production capacity of approximately 225 million cables. The Company's subsidiaries include Suprajit Automotive Private Limited, Suprajit Europe Limited and Phoenix Lamps Limited.</v>
    <v>1720</v>
    <v>National Stock Exchange of India</v>
    <v>XNSE</v>
    <v>XNSE</v>
    <v>No.100, Bommasandra Industrial Area,, BANGALORE, KARNATAKA, 560099 IN</v>
    <v>452.65</v>
    <v>Automobiles &amp; Auto Parts</v>
    <v>Stock</v>
    <v>44571.406319444446</v>
    <v>211</v>
    <v>433.9</v>
    <v>62425540000</v>
    <v>SUPRAJIT ENGINEERING LIMITED</v>
    <v>SUPRAJIT ENGINEERING LIMITED</v>
    <v>449.9</v>
    <v>30.81</v>
    <v>446.3</v>
    <v>439.65</v>
    <v>139873500</v>
    <v>SUPRAJIT</v>
    <v>SUPRAJIT ENGINEERING LIMITED (XNSE:SUPRAJIT)</v>
    <v>279889</v>
    <v>1985</v>
  </rv>
  <rv s="2">
    <v>212</v>
  </rv>
  <rv s="0">
    <v>https://www.bing.com/financeapi/forcetrigger?t=c1c3dm&amp;q=XNSE%3aLXCHEM&amp;form=skydnc</v>
    <v>Learn more on Bing</v>
  </rv>
  <rv s="8">
    <v>en-IN</v>
    <v>c1c3dm</v>
    <v>268435456</v>
    <v>1</v>
    <v>Powered by Refinitiv</v>
    <v>15</v>
    <v>LAXMI ORGANIC INDUSTRIES LIMITED (XNSE:LXCHEM)</v>
    <v>2</v>
    <v>16</v>
    <v>Finance</v>
    <v>4</v>
    <v>628</v>
    <v>143.25</v>
    <v>21.3</v>
    <v>4.9930000000000002E-2</v>
    <v>INR</v>
    <v>Laxmi Organic Industries Limited is an India-based specialty chemical manufacturer. The Company's products are offered in categories, including Acetyl Intermediates and Specialty Intermediates. The Acetyl Intermediates include ethyl acetate, acetaldehyde, fuel-grade ethanol and other solvents. Specialty Intermediates comprises of ketene, diketene derivatives, including esters, acetic anhydride, amides, arylides and other chemicals. Its products have application in industries, including pharmaceuticals, agrochemicals, dyes and pigments, inks and coatings, paints, printing and packaging, flavors and fragrances, adhesives, and other industrial applications.</v>
    <v>649</v>
    <v>National Stock Exchange of India</v>
    <v>XNSE</v>
    <v>XNSE</v>
    <v>Chandermukhi Building, 2nd and 3rd Floor, Nariman Point, MUMBAI, MAHARASHTRA, 400021 IN</v>
    <v>447.9</v>
    <v>Chemicals</v>
    <v>Stock</v>
    <v>44571.406354166669</v>
    <v>214</v>
    <v>433.15</v>
    <v>112478500000</v>
    <v>LAXMI ORGANIC INDUSTRIES LIMITED</v>
    <v>LAXMI ORGANIC INDUSTRIES LIMITED</v>
    <v>439.9</v>
    <v>48.04</v>
    <v>426.6</v>
    <v>447.9</v>
    <v>263662800</v>
    <v>LXCHEM</v>
    <v>LAXMI ORGANIC INDUSTRIES LIMITED (XNSE:LXCHEM)</v>
    <v>689153</v>
    <v>1989</v>
  </rv>
  <rv s="2">
    <v>215</v>
  </rv>
  <rv s="0">
    <v>https://www.bing.com/financeapi/forcetrigger?t=ahju6h&amp;q=XNSE%3aSBIN&amp;form=skydnc</v>
    <v>Learn more on Bing</v>
  </rv>
  <rv s="10">
    <v>en-IN</v>
    <v>ahju6h</v>
    <v>268435456</v>
    <v>1</v>
    <v>Powered by Refinitiv</v>
    <v>19</v>
    <v>State Bank of India (XNSE:SBIN)</v>
    <v>2</v>
    <v>20</v>
    <v>Finance</v>
    <v>4</v>
    <v>542.29999999999995</v>
    <v>269.5</v>
    <v>1.4908999999999999</v>
    <v>12.55</v>
    <v>2.5547E-2</v>
    <v>INR</v>
    <v>State Bank of India is an India-based banking and financial services company. The Company’s segments include Treasury, Corporate/Wholesale Banking, Retail Banking and Other Banking Business. Treasury includes the investment portfolio and trading in foreign exchange contracts and derivative contracts. Corporate/Wholesale Banking comprises the lending activities of corporate accounts group, commercial client’s group and stressed assets resolution group that includes providing loans and transaction services to corporate and institutional clients. Retail Banking comprises of retail branches, which primarily includes Personal Banking activities including lending activities to corporate customers having banking relations with these branches. Other Banking Business segment includes the operations of all the Non-Banking subsidiaries/Joint Ventures other than SBI Life Insurance Co. Ltd. and SBI General Insurance Co. Ltd. of the group The Company has approximately 22,100 branches and 58,555 ATMs</v>
    <v>245652</v>
    <v>National Stock Exchange of India</v>
    <v>XNSE</v>
    <v>XNSE</v>
    <v>Corporate Centre, State Bank Bhavan, Madame Cama Road, MUMBAI, MAHARASHTRA, 400021 IN</v>
    <v>503.85</v>
    <v>Banking Services</v>
    <v>Stock</v>
    <v>44571.406342592592</v>
    <v>217</v>
    <v>492.5</v>
    <v>4384216000000</v>
    <v>State Bank of India</v>
    <v>State Bank of India</v>
    <v>493.35</v>
    <v>15.3</v>
    <v>491.25</v>
    <v>503.8</v>
    <v>8924611000</v>
    <v>SBIN</v>
    <v>State Bank of India (XNSE:SBIN)</v>
    <v>13838583</v>
  </rv>
  <rv s="2">
    <v>218</v>
  </rv>
  <rv s="0">
    <v>http://en.wikipedia.org/wiki/Tata_Motors</v>
    <v>Wikipedia</v>
  </rv>
  <rv s="5">
    <v>21</v>
    <v>220</v>
  </rv>
  <rv s="6">
    <v>14</v>
    <v>https://www.bing.com/th?id=AMMS_55c43e0de6f4f93c01d1d9afa57febd7&amp;qlt=95</v>
    <v>221</v>
    <v>0</v>
    <v>https://www.bing.com/images/search?form=xlimg&amp;q=tata+motors</v>
    <v>Image of TATA MOTORS LIMITED</v>
  </rv>
  <rv s="0">
    <v>https://www.bing.com/financeapi/forcetrigger?t=ahk9xm&amp;q=XNSE%3aTATAMOTORS&amp;form=skydnc</v>
    <v>Learn more on Bing</v>
  </rv>
  <rv s="7">
    <v>en-IN</v>
    <v>ahk9xm</v>
    <v>268435456</v>
    <v>1</v>
    <v>Powered by Refinitiv</v>
    <v>10</v>
    <v>TATA MOTORS LIMITED (XNSE:TATAMOTORS)</v>
    <v>12</v>
    <v>13</v>
    <v>Finance</v>
    <v>4</v>
    <v>536.70000000000005</v>
    <v>185.05</v>
    <v>1.7242</v>
    <v>12.65</v>
    <v>2.5784999999999999E-2</v>
    <v>INR</v>
    <v>Tata Motors Limited is an automobile company. The Company is engaged in manufacture of motor vehicles. The Company's segments include automotive operations and all other operations. The Company is engaged mainly in the business of automobile products consisting of all types of commercial and passenger vehicles, including financing of the vehicles sold by the Company. The Company markets its commercial and passenger vehicles in various countries in Africa, the Middle East, South East Asia, South Asia, Australia, and Russia and the Commonwealth of Independent States countries. The Company's automotive segment operations include all activities relating to the development, design, manufacture, assembly and sale of vehicles, including vehicle financing, as well as sale of related parts and accessories. The Company's all other operations segment mainly includes information technology (IT) services, and machine tools and factory automation services.</v>
    <v>75278</v>
    <v>National Stock Exchange of India</v>
    <v>XNSE</v>
    <v>XNSE</v>
    <v>4th Floor, Ahura Centre, 82 Mahakali Caves Road, MIDC, Andheri East, MUMBAI, MAHARASHTRA, 400093 IN</v>
    <v>504.8</v>
    <v>222</v>
    <v>Automobiles &amp; Auto Parts</v>
    <v>Stock</v>
    <v>44571.406388888892</v>
    <v>223</v>
    <v>491.3</v>
    <v>1755248000000</v>
    <v>TATA MOTORS LIMITED</v>
    <v>TATA MOTORS LIMITED</v>
    <v>493.1</v>
    <v>0</v>
    <v>490.6</v>
    <v>503.25</v>
    <v>3829055000</v>
    <v>TATAMOTORS</v>
    <v>TATA MOTORS LIMITED (XNSE:TATAMOTORS)</v>
    <v>22771232</v>
    <v>1945</v>
  </rv>
  <rv s="2">
    <v>224</v>
  </rv>
  <rv s="0">
    <v>https://www.bing.com/financeapi/forcetrigger?t=ahk6fr&amp;q=XNSE%3aSUNTV&amp;form=skydnc</v>
    <v>Learn more on Bing</v>
  </rv>
  <rv s="1">
    <v>en-IN</v>
    <v>ahk6fr</v>
    <v>268435456</v>
    <v>1</v>
    <v>Powered by Refinitiv</v>
    <v>0</v>
    <v>SUN TV NETWORK LIMITED (XNSE:SUNTV)</v>
    <v>2</v>
    <v>3</v>
    <v>Finance</v>
    <v>4</v>
    <v>612</v>
    <v>450</v>
    <v>0.99</v>
    <v>7.6</v>
    <v>1.5005999999999999E-2</v>
    <v>INR</v>
    <v>Sun TV Network Limited is engaged in providing broadcasting services. The Company operates through Media and Entertainment segment. Its geographical segments include India and Others. It is engaged in producing and broadcasting satellite television and radio software programming in the regional languages of South India. It operates television channels in approximately four South Indian languages to viewers in India, and also to viewers in Sri Lanka, Singapore, Malaysia, the United Kingdom, Europe, the Middle East, the United States, Australia, South Africa and Canada. It operates Sun TV channel. Its other satellite channels are Surya TV, Gemini TV and Udaya TV. It is also into the business of frequency modulation (FM) radio broadcasting at Chennai, Coimbatore and Tirunelveli. It also has the license to operate an Indian Premier League franchise Sun Risers Hyderabad. It has presence across various genres, such as general entertainment, movies, music, news, kids, action and life.</v>
    <v>1188</v>
    <v>National Stock Exchange of India</v>
    <v>XNSE</v>
    <v>XNSE</v>
    <v>73,Murasoli Maran Towers, MRC Nagar Main Road, MRC Nagar, CHENNAI, TAMIL NADU, 600028 IN</v>
    <v>517.70000000000005</v>
    <v>Media &amp; Publishing</v>
    <v>Stock</v>
    <v>44571.406365740739</v>
    <v>226</v>
    <v>508.05</v>
    <v>199584200000</v>
    <v>SUN TV NETWORK LIMITED</v>
    <v>SUN TV NETWORK LIMITED</v>
    <v>509.1</v>
    <v>11.79</v>
    <v>506.45</v>
    <v>514.04999999999995</v>
    <v>394084600</v>
    <v>SUNTV</v>
    <v>SUN TV NETWORK LIMITED (XNSE:SUNTV)</v>
    <v>417491</v>
    <v>1985</v>
  </rv>
  <rv s="2">
    <v>227</v>
  </rv>
  <rv s="0">
    <v>https://www.bing.com/financeapi/forcetrigger?t=ahiw4c&amp;q=XNSE%3aMARICO&amp;form=skydnc</v>
    <v>Learn more on Bing</v>
  </rv>
  <rv s="1">
    <v>en-IN</v>
    <v>ahiw4c</v>
    <v>268435456</v>
    <v>1</v>
    <v>Powered by Refinitiv</v>
    <v>0</v>
    <v>MARICO LIMITED (XNSE:MARICO)</v>
    <v>2</v>
    <v>3</v>
    <v>Finance</v>
    <v>4</v>
    <v>607.70000000000005</v>
    <v>379.1</v>
    <v>0.37569999999999998</v>
    <v>2.4</v>
    <v>4.7599999999999995E-3</v>
    <v>INR</v>
    <v>Marico Limited is a consumer products company operating in the beauty and wellness space. The Company's principal products include edible oils and value added hair oils. The Company's geographic segments include India and International, which includes primarily the Middle East, The South Asian Association for Regional Cooperation (SAARC) countries, Egypt, Myanmar, Malaysia, South Africa and Vietnam. It offers various brands in the categories of hair care, skin care, health foods, male grooming and fabric care. In India, the Company manufactures and markets products under various brands, such as Parachute, Parachute Advansed, Nihar, Nihar Naturals, Saffola, Hair &amp; Care, Revive, Mediker, Livon, Set-wet and Code 10. Its international portfolio includes brands, such as Fiancee, Hair Code, Caivil, Hercules, Black Chic, Ingwe, X-men and Thuan Phat. Its subsidiaries include Marico Bangladesh Limited, Marico Middle East FZE, Marico South Africa (Pty) Limited and Marico Consumer Care Limited.</v>
    <v>1695</v>
    <v>National Stock Exchange of India</v>
    <v>XNSE</v>
    <v>XNSE</v>
    <v>7th Floor, Grande Palladium, 175,CST Road, Kalina,, Santacruz (East), MUMBAI, MAHARASHTRA, 400098 IN</v>
    <v>507.6</v>
    <v>Personal &amp; Household Products &amp; Services</v>
    <v>Stock</v>
    <v>44571.406354166669</v>
    <v>229</v>
    <v>501.1</v>
    <v>651044500000</v>
    <v>MARICO LIMITED</v>
    <v>MARICO LIMITED</v>
    <v>505</v>
    <v>54.61</v>
    <v>504.25</v>
    <v>506.65</v>
    <v>1291115000</v>
    <v>MARICO</v>
    <v>MARICO LIMITED (XNSE:MARICO)</v>
    <v>625758</v>
    <v>1988</v>
  </rv>
  <rv s="2">
    <v>230</v>
  </rv>
  <rv s="0">
    <v>https://www.bing.com/financeapi/forcetrigger?t=c13hk2&amp;q=XNSE%3aEASEMYTRIP&amp;form=skydnc</v>
    <v>Learn more on Bing</v>
  </rv>
  <rv s="8">
    <v>en-IN</v>
    <v>c13hk2</v>
    <v>268435456</v>
    <v>1</v>
    <v>Powered by Refinitiv</v>
    <v>15</v>
    <v>EASY TRIP PLANNERS LIMITED (XNSE:EASEMYTRIP)</v>
    <v>2</v>
    <v>16</v>
    <v>Finance</v>
    <v>4</v>
    <v>717.65</v>
    <v>161</v>
    <v>21.15</v>
    <v>3.7659999999999999E-2</v>
    <v>INR</v>
    <v>Easy Trip Planners Ltd, formerly Easy Trip Planners Pvt Ltd, is an online travel agency. The Company is engaged in providing reservation and booking services related to travel and tourism through ease my trip-portal, ease my trip-app or in-house call-center. The Company’s segments include air ticketing, and hotels and packages. Its air ticketing segment offers an Internet and mobile based platform and call-centers that provides the facility to book and service international and domestic air tickets to consumer through business-to-customers (B2C) and business-to-business-customers (B2B2C) channel. Its hotels and packages segment provide holiday packages and hotel reservations through call-centers and branch offices. The Company offers travel-related products and services including airline tickets, hotels and holiday packages, rail tickets, bus tickets and taxis as well as ancillary value-added services such as travel insurance, visa processing and tickets for activities and attractions.</v>
    <v>374</v>
    <v>National Stock Exchange of India</v>
    <v>XNSE</v>
    <v>XNSE</v>
    <v>Patparganj Industrial Area, Building Number - 223, NEW DELHI, DELHI, 110092 IN</v>
    <v>589.65</v>
    <v>Hotels &amp; Entertainment Services</v>
    <v>Stock</v>
    <v>44571.406331018516</v>
    <v>232</v>
    <v>545.1</v>
    <v>61015030000</v>
    <v>EASY TRIP PLANNERS LIMITED</v>
    <v>EASY TRIP PLANNERS LIMITED</v>
    <v>566</v>
    <v>83.48</v>
    <v>561.6</v>
    <v>582.75</v>
    <v>108645000</v>
    <v>EASEMYTRIP</v>
    <v>EASY TRIP PLANNERS LIMITED (XNSE:EASEMYTRIP)</v>
    <v>1401839</v>
    <v>2008</v>
  </rv>
  <rv s="2">
    <v>233</v>
  </rv>
  <rv s="0">
    <v>https://www.bing.com/financeapi/forcetrigger?t=ahipz2&amp;q=XNSE%3aLAURUSLABS&amp;form=skydnc</v>
    <v>Learn more on Bing</v>
  </rv>
  <rv s="1">
    <v>en-IN</v>
    <v>ahipz2</v>
    <v>268435456</v>
    <v>1</v>
    <v>Powered by Refinitiv</v>
    <v>0</v>
    <v>LAURUS LABS LIMITED (XNSE:LAURUSLABS)</v>
    <v>2</v>
    <v>3</v>
    <v>Finance</v>
    <v>4</v>
    <v>723.75</v>
    <v>333.05</v>
    <v>1.4315</v>
    <v>-4.3499999999999996</v>
    <v>-8.2730000000000008E-3</v>
    <v>INR</v>
    <v>Laurus Labs Limited is an India-based manufacturer of active pharmaceutical ingredietns (APIs) for anti-etrovirals (ARVs), oncology, cardiovascular, anti-diabetics, anti-asthma and gastroenterology. The Company develops and manufactures oral solid formulations, provides contract research and manufacturing services (CRAMS) and contract development and manufacturing organization (CDMO) to the global pharmaceutical companies. The Company also produces specialty ingredients for nutraceuticals, dietary supplements, and cosmeceuticals. Its business units include Generics APIs, Generics Finished Dosage Forms (FDFs) and Synthesis/Ingredients. The Generics APIs business comprises the development, manufacture and sale of APIs and advanced intermediates in the ARV, Hepatitis C, oncology, cardiovascular, anti-diabetic, anti-asthmatic, gastroenterology and ophthalmic therapeutic areas. The Generics FDFs is engaged in developing and manufacturing oral solid formulations.</v>
    <v>4492</v>
    <v>National Stock Exchange of India</v>
    <v>XNSE</v>
    <v>XNSE</v>
    <v>2nd Floor, Serene Chambers,, Road No. 7, Banjara Hills,, Hyderabad 500 034,, HYDERABAD, TELANGANA, 500034 IN</v>
    <v>529.75</v>
    <v>Pharmaceuticals</v>
    <v>Stock</v>
    <v>44571.406354166669</v>
    <v>235</v>
    <v>520.20000000000005</v>
    <v>282543500000</v>
    <v>LAURUS LABS LIMITED</v>
    <v>LAURUS LABS LIMITED</v>
    <v>525</v>
    <v>27.85</v>
    <v>525.79999999999995</v>
    <v>521.45000000000005</v>
    <v>537359300</v>
    <v>LAURUSLABS</v>
    <v>LAURUS LABS LIMITED (XNSE:LAURUSLABS)</v>
    <v>1283832</v>
    <v>2005</v>
  </rv>
  <rv s="2">
    <v>236</v>
  </rv>
  <rv s="0">
    <v>https://www.bing.com/financeapi/forcetrigger?t=ahkj3m&amp;q=XNSE%3aVAIBHAVGBL&amp;form=skydnc</v>
    <v>Learn more on Bing</v>
  </rv>
  <rv s="1">
    <v>en-IN</v>
    <v>ahkj3m</v>
    <v>268435456</v>
    <v>1</v>
    <v>Powered by Refinitiv</v>
    <v>0</v>
    <v>VAIBHAV GLOBAL LIMITED (XNSE:VAIBHAVGBL)</v>
    <v>2</v>
    <v>3</v>
    <v>Finance</v>
    <v>4</v>
    <v>1050</v>
    <v>480.1</v>
    <v>0.83989999999999998</v>
    <v>-5.35</v>
    <v>-9.6589999999999992E-3</v>
    <v>INR</v>
    <v>Vaibhav Global Limited is a holding company. The Company is an electronic retailer of fashion jewelry and lifestyle accessories. The Company owns and operates the Liquidation Channel in the United States, and Jewelry Channel in the United Kingdom. It operates through wholesale business-as a downstream manufacturing facility segment. The Company offers a range of jewelry and non-jewelry products. The Company manufactures and exports various kinds of jewelry, colored gems stones, precious and semi-precious stones. It offers fashion jewelry, including bracelets, bangles, earrings and studded jewelry. Its fashion accessories and lifestyle products include watches, handbags, scarves, home decor, bed linen, pillow covers and towels. Its products are sold on its television shopping and Web platforms. Its plants are located in Jaipur and Mumbai. In addition to electronic retailing, the Company also engages in traditional business-to-business wholesale distribution through STS Jewels Inc.</v>
    <v>1313</v>
    <v>National Stock Exchange of India</v>
    <v>XNSE</v>
    <v>XNSE</v>
    <v>E- 69 Epip,, Sitapura,, JAIPUR, RAJASTHAN, 302022 IN</v>
    <v>557.79999999999995</v>
    <v>Textiles &amp; Apparel</v>
    <v>Stock</v>
    <v>44571.406319444446</v>
    <v>238</v>
    <v>543.70000000000005</v>
    <v>90620320000</v>
    <v>VAIBHAV GLOBAL LIMITED</v>
    <v>VAIBHAV GLOBAL LIMITED</v>
    <v>556</v>
    <v>37.01</v>
    <v>553.9</v>
    <v>548.54999999999995</v>
    <v>163604100</v>
    <v>VAIBHAVGBL</v>
    <v>VAIBHAV GLOBAL LIMITED (XNSE:VAIBHAVGBL)</v>
    <v>91275</v>
    <v>1989</v>
  </rv>
  <rv s="2">
    <v>239</v>
  </rv>
  <rv s="0">
    <v>https://www.bing.com/financeapi/forcetrigger?t=b13w8m&amp;q=XNSE%3aBORORENEW&amp;form=skydnc</v>
    <v>Learn more on Bing</v>
  </rv>
  <rv s="1">
    <v>en-IN</v>
    <v>b13w8m</v>
    <v>268435456</v>
    <v>1</v>
    <v>Powered by Refinitiv</v>
    <v>0</v>
    <v>BOROSIL RENEWABLES LIMITED (XNSE:BORORENEW)</v>
    <v>2</v>
    <v>3</v>
    <v>Finance</v>
    <v>4</v>
    <v>747.9</v>
    <v>213.25</v>
    <v>2.4819</v>
    <v>-14</v>
    <v>-2.0948999999999999E-2</v>
    <v>INR</v>
    <v>Borosil Renewables Ltd, formerly Borosil Glass Works Limited, is an India-based company. The Company is engaged in manufacturing patterned glass and low iron solar glass for application in photovoltaic (PV) panels, flat plate collectors and green houses. The Company provides fully tempered solar glass, with iron content. Its products include Selene and Shakti. Selene is an anti-glare solar glass for PV installations near airports. Shakti provides a matt-matt finish to solar glass.</v>
    <v>486</v>
    <v>National Stock Exchange of India</v>
    <v>XNSE</v>
    <v>XNSE</v>
    <v>1101 Cresenzo, G-Block,, Opp,MCA Club Bandra Kurla Complex,, Bandra East,, MUMBAI, MAHARASHTRA, 400051 IN</v>
    <v>685</v>
    <v>Chemicals</v>
    <v>Stock</v>
    <v>44571.406354166669</v>
    <v>241</v>
    <v>651.85</v>
    <v>87052950000</v>
    <v>BOROSIL RENEWABLES LIMITED</v>
    <v>BOROSIL RENEWABLES LIMITED</v>
    <v>681</v>
    <v>56.91</v>
    <v>668.3</v>
    <v>654.29999999999995</v>
    <v>130260300</v>
    <v>BORORENEW</v>
    <v>BOROSIL RENEWABLES LIMITED (XNSE:BORORENEW)</v>
    <v>494516</v>
    <v>1962</v>
  </rv>
  <rv s="2">
    <v>242</v>
  </rv>
  <rv s="0">
    <v>https://www.bing.com/financeapi/forcetrigger?t=ahhfa2&amp;q=XNSE%3aCONCOR&amp;form=skydnc</v>
    <v>Learn more on Bing</v>
  </rv>
  <rv s="1">
    <v>en-IN</v>
    <v>ahhfa2</v>
    <v>268435456</v>
    <v>1</v>
    <v>Powered by Refinitiv</v>
    <v>0</v>
    <v>CONTAINER CORPORATION OF INDIA LIMITED (XNSE:CONCOR)</v>
    <v>2</v>
    <v>3</v>
    <v>Finance</v>
    <v>4</v>
    <v>754.4</v>
    <v>403</v>
    <v>1.0607</v>
    <v>8.85</v>
    <v>1.3902000000000001E-2</v>
    <v>INR</v>
    <v>Container Corporation of India Limited (CONCOR) is the holding company. The Company is engaged in transportation of containers (rail and road), and handling of containers. The Company is also engaged in the operation of logistics facilities, including dry ports, container freight stations and private freight terminals. Its divisions are EXIM and Domestic. Both EXIM and Domestic divisions of the company are engaged in handling, transportation and warehousing activities. Its International services include train services, road services, air cargo movements, reefer services, and block booking on round trip basis. Its domestic services include train services, volume discount scheme, door delivery/pick 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646</v>
    <v>Freight &amp; Logistics Services</v>
    <v>Stock</v>
    <v>44571.406354166669</v>
    <v>244</v>
    <v>635.04999999999995</v>
    <v>387876800000</v>
    <v>CONTAINER CORPORATION OF INDIA LIMITED</v>
    <v>CONTAINER CORPORATION OF INDIA LIMITED</v>
    <v>635.04999999999995</v>
    <v>50.27</v>
    <v>636.6</v>
    <v>645.45000000000005</v>
    <v>609294400</v>
    <v>CONCOR</v>
    <v>CONTAINER CORPORATION OF INDIA LIMITED (XNSE:CONCOR)</v>
    <v>540307</v>
    <v>1988</v>
  </rv>
  <rv s="2">
    <v>245</v>
  </rv>
  <rv s="0">
    <v>https://www.bing.com/financeapi/forcetrigger?t=axd4c7&amp;q=XNSE%3aHDFCLIFE&amp;form=skydnc</v>
    <v>Learn more on Bing</v>
  </rv>
  <rv s="1">
    <v>en-IN</v>
    <v>axd4c7</v>
    <v>268435456</v>
    <v>1</v>
    <v>Powered by Refinitiv</v>
    <v>0</v>
    <v>HDFC LIFE INSURANCE COMPANY LIMITED (XNSE:HDFCLIFE)</v>
    <v>2</v>
    <v>3</v>
    <v>Finance</v>
    <v>4</v>
    <v>775.65</v>
    <v>627</v>
    <v>0.84379999999999999</v>
    <v>3.5</v>
    <v>5.3010000000000002E-3</v>
    <v>INR</v>
    <v>HDFC Life Insurance Company Ltd is a life insurance company. It provides a range of individual and group insurance solutions across India. It offers a range of life insurance plans, such as term insurance plan, health insurance plans, child education plans, unit linked insurance plans (ULIPs), and savings and investment plans. It offers long term savings, protection and retirement or pension products. It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20636</v>
    <v>National Stock Exchange of India</v>
    <v>XNSE</v>
    <v>XNSE</v>
    <v>12th Floor, Lodha Excelus, Apollo Mills Compound, N.M. Joshi Road, Mahalaxmi, MUMBAI, MAHARASHTRA, 400011 IN</v>
    <v>669.7</v>
    <v>Insurance</v>
    <v>Stock</v>
    <v>44571.406365740739</v>
    <v>247</v>
    <v>660</v>
    <v>1394430000000</v>
    <v>HDFC LIFE INSURANCE COMPANY LIMITED</v>
    <v>HDFC LIFE INSURANCE COMPANY LIMITED</v>
    <v>666</v>
    <v>118.51</v>
    <v>660.3</v>
    <v>663.8</v>
    <v>2111813000</v>
    <v>HDFCLIFE</v>
    <v>HDFC LIFE INSURANCE COMPANY LIMITED (XNSE:HDFCLIFE)</v>
    <v>1203736</v>
    <v>2000</v>
  </rv>
  <rv s="2">
    <v>248</v>
  </rv>
  <rv s="0">
    <v>https://www.bing.com/financeapi/forcetrigger?t=ahh2gh&amp;q=XNSE%3aAXISBANK&amp;form=skydnc</v>
    <v>Learn more on Bing</v>
  </rv>
  <rv s="1">
    <v>en-IN</v>
    <v>ahh2gh</v>
    <v>268435456</v>
    <v>1</v>
    <v>Powered by Refinitiv</v>
    <v>0</v>
    <v>Axis Bank Limited (XNSE:AXISBANK)</v>
    <v>2</v>
    <v>3</v>
    <v>Finance</v>
    <v>4</v>
    <v>866.9</v>
    <v>616</v>
    <v>1.5049999999999999</v>
    <v>11.8</v>
    <v>1.6150999999999999E-2</v>
    <v>INR</v>
    <v>Axis Bank Limited (the Bank) provides commercial banking operations for retail and corporate customers. The Bank's segments include Treasury, Retail Banking, Corporate/Wholesale Banking and Other Banking Business. Its Treasury operations include investments in sovereign and corporate debt, equity and mutual funds, trading operations, derivative trading and foreign exchange operations on the proprietary account and for customers. Its Retail Banking constitutes lending to individuals/small businesses and activities include liability products, card services, Internet banking, mobile banking and financial advisory services, among others. Its Corporate Banking includes corporate relationships not included under Retail Banking, corporate advisory services, placements and syndication, project appraisals, capital market related services and cash management services. Its Other Banking Business includes para banking activities, such as third-party product distribution and banking transactions.</v>
    <v>78307</v>
    <v>National Stock Exchange of India</v>
    <v>XNSE</v>
    <v>XNSE</v>
    <v>Bombay Dyeing Mills Compound, Pandurang Budhkar Marg,, Worli, MUMBAI, MAHARASHTRA, 400025 IN</v>
    <v>744</v>
    <v>Banking Services</v>
    <v>Stock</v>
    <v>44571.406377314815</v>
    <v>250</v>
    <v>733.2</v>
    <v>2241243000000</v>
    <v>Axis Bank Limited</v>
    <v>Axis Bank Limited</v>
    <v>733.65</v>
    <v>22.37</v>
    <v>730.6</v>
    <v>742.4</v>
    <v>3067674000</v>
    <v>AXISBANK</v>
    <v>Axis Bank Limited (XNSE:AXISBANK)</v>
    <v>8804314</v>
    <v>1993</v>
  </rv>
  <rv s="2">
    <v>251</v>
  </rv>
  <rv s="0">
    <v>https://www.bing.com/financeapi/forcetrigger?t=btddc7&amp;q=XNSE%3aPRINCEPIPE&amp;form=skydnc</v>
    <v>Learn more on Bing</v>
  </rv>
  <rv s="11">
    <v>en-IN</v>
    <v>btddc7</v>
    <v>268435456</v>
    <v>1</v>
    <v>Powered by Refinitiv</v>
    <v>21</v>
    <v>PRINCE PIPES AND FITTINGS LIMITED (XNSE:PRINCEPIPE)</v>
    <v>2</v>
    <v>22</v>
    <v>Finance</v>
    <v>4</v>
    <v>897</v>
    <v>281.10000000000002</v>
    <v>2.85</v>
    <v>4.13E-3</v>
    <v>INR</v>
    <v>Prince Pipes and Fittings Limited is an India-based company that manufactures polymer pipes and fittings for plumbing, irrigation and sewage disposal. The Company distributes its products under two brands: Prince Piping Systems and Trubore Piping. The Company's Prince Piping Systems products include Smartfit pipes, Greenfit pipes, Ultrafit pipes, Ultrafit fittings, Foamfit pipes, Drainfit pipes, Aquafit pipes, Aquafit fittings, and Safefit pipes. The Company's Trubore Piping products include chlorinated polyvinyl chloride (CPVC) Plumbing Systems pipes, Agri Pressure and Non-Pressure Piping Systems pipes, Agri Pressure and Non-Pressure Piping Systems fittings, unplasticized polyvinyl chloride (UPVC) Underground Drainage pipes, soil, waste and rain (SWR) Piping Systems pipes, SWR Piping Systems fittings, Dinlock seals and Borewell Piping Systems pipes.</v>
    <v>1793</v>
    <v>National Stock Exchange of India</v>
    <v>XNSE</v>
    <v>XNSE</v>
    <v>The Ruby, 8Th Floor, Senapati Bapat Marg (Tulsi Pipe Road), Dadar (West), MUMBAI, MAHARASHTRA, 400028 IN</v>
    <v>700.05</v>
    <v>Homebuilding &amp; Construction Supplies</v>
    <v>Stock</v>
    <v>44571.406365740739</v>
    <v>253</v>
    <v>690.7</v>
    <v>76287140000</v>
    <v>PRINCE PIPES AND FITTINGS LIMITED</v>
    <v>PRINCE PIPES AND FITTINGS LIMITED</v>
    <v>695.05</v>
    <v>29.46</v>
    <v>690</v>
    <v>692.85</v>
    <v>110561100</v>
    <v>PRINCEPIPE</v>
    <v>PRINCE PIPES AND FITTINGS LIMITED (XNSE:PRINCEPIPE)</v>
    <v>266350</v>
  </rv>
  <rv s="2">
    <v>254</v>
  </rv>
  <rv s="0">
    <v>https://www.bing.com/financeapi/forcetrigger?t=ahkok2&amp;q=XNSE%3aWIPRO&amp;form=skydnc</v>
    <v>Learn more on Bing</v>
  </rv>
  <rv s="1">
    <v>en-IN</v>
    <v>ahkok2</v>
    <v>268435456</v>
    <v>1</v>
    <v>Powered by Refinitiv</v>
    <v>0</v>
    <v>WIPRO LIMITED (XNSE:WIPRO)</v>
    <v>2</v>
    <v>3</v>
    <v>Finance</v>
    <v>4</v>
    <v>739.85</v>
    <v>387.8</v>
    <v>0.36609999999999998</v>
    <v>-18.05</v>
    <v>-2.5369000000000003E-2</v>
    <v>INR</v>
    <v>Wipro Limited (Wipro) is a global information technology (IT), consulting and business services provider. It operates through two segments: IT Services and IT Products. The Company's IT Services business provides a range of IT and IT-enabled services, which include digital strategy advisory, customer centric design, technology consulting, IT consulting, custom application design, development, re-engineering and maintenance, systems integration, package implementation, global infrastructure services, analytics services, business process services, research and development and hardware and software design. The IT Products segment provides a range of third-party IT products, which allows it to offer IT system integration services. Its products include computing, Platforms and Storage, Networking Solutions, Enterprise Information Security, and software products, including databases and operating systems. It is a reseller of third-party enterprise products through its direct sales force.</v>
    <v>221365</v>
    <v>National Stock Exchange of India</v>
    <v>XNSE</v>
    <v>XNSE</v>
    <v>Survey #76P &amp; #80P Doddakanahalli Villag, Varthur Hobli Sarjapur Rd Bangalore, BANGALORE, KARNATAKA, 560035 IN</v>
    <v>709</v>
    <v>Software &amp; IT Services</v>
    <v>Stock</v>
    <v>44571.406365740739</v>
    <v>256</v>
    <v>690</v>
    <v>3887539000000</v>
    <v>WIPRO LIMITED</v>
    <v>WIPRO LIMITED</v>
    <v>709</v>
    <v>32.520000000000003</v>
    <v>711.5</v>
    <v>693.45</v>
    <v>5463863000</v>
    <v>WIPRO</v>
    <v>WIPRO LIMITED (XNSE:WIPRO)</v>
    <v>12754564</v>
    <v>1945</v>
  </rv>
  <rv s="2">
    <v>257</v>
  </rv>
  <rv s="0">
    <v>https://www.bing.com/financeapi/forcetrigger?t=ahka77&amp;q=XNSE%3aTATASTLLP&amp;form=skydnc</v>
    <v>Learn more on Bing</v>
  </rv>
  <rv s="1">
    <v>en-IN</v>
    <v>ahka77</v>
    <v>268435456</v>
    <v>1</v>
    <v>Powered by Refinitiv</v>
    <v>0</v>
    <v>TATA STEEL LONG PRODUCTS LIMITED (XNSE:TATASTLLP)</v>
    <v>2</v>
    <v>3</v>
    <v>Finance</v>
    <v>4</v>
    <v>1173</v>
    <v>572.95000000000005</v>
    <v>1.4012</v>
    <v>15.95</v>
    <v>1.8634999999999999E-2</v>
    <v>INR</v>
    <v>Tata Steel Long Products Ltd, formerly Tata Sponge Iron Limited, is an India-based holding company. The Company is engaged in the production of sponge iron by direct reduction method of iron ore and generation of power from waste heat. The Company operates through two segments: manufacture of sponge iron and generation of power. The Company manufactures sponge iron by Tisco Direct Reduction (TDR) technology. The Company operates over two power plants with a combined generation capacity of approximately 30 megawatts that generate power from waste heat. The Company has its manufacturing facility at Bilaipada in Joda Block of Keonjhar District in Orissa. It has a total production capacity of approximately 360,450 metric tons of sponge iron from approximately three kilns. The Company's total generation of power from its power plants is approximately 160 million kilowatt-hours.</v>
    <v>2395</v>
    <v>National Stock Exchange of India</v>
    <v>XNSE</v>
    <v>XNSE</v>
    <v>P.O. Joda, KEONJHARGARH, ORISSA, 758034 IN</v>
    <v>895</v>
    <v>Metals &amp; Mining</v>
    <v>Stock</v>
    <v>44571.406342592592</v>
    <v>259</v>
    <v>844</v>
    <v>38601090000</v>
    <v>TATA STEEL LONG PRODUCTS LIMITED</v>
    <v>TATA STEEL LONG PRODUCTS LIMITED</v>
    <v>855.85</v>
    <v>3.48</v>
    <v>855.9</v>
    <v>871.85</v>
    <v>45100000</v>
    <v>TATASTLLP</v>
    <v>TATA STEEL LONG PRODUCTS LIMITED (XNSE:TATASTLLP)</v>
    <v>464949</v>
    <v>1982</v>
  </rv>
  <rv s="2">
    <v>260</v>
  </rv>
  <rv s="0">
    <v>https://www.bing.com/financeapi/forcetrigger?t=c2jxar&amp;q=XNSE%3aSONACOMS&amp;form=skydnc</v>
    <v>Learn more on Bing</v>
  </rv>
  <rv s="8">
    <v>en-IN</v>
    <v>c2jxar</v>
    <v>268435456</v>
    <v>1</v>
    <v>Powered by Refinitiv</v>
    <v>15</v>
    <v>Sona BLW Precision Forgings Ltd (XNSE:SONACOMS)</v>
    <v>2</v>
    <v>16</v>
    <v>Finance</v>
    <v>4</v>
    <v>839.9</v>
    <v>295</v>
    <v>5.2</v>
    <v>7.0830000000000008E-3</v>
    <v>INR</v>
    <v>Sona BLW Precision Forgings Ltd is an India-based automotive technology company. The Company is engaged in designing, manufacturing and supplying engineered automotive systems and components. The Company offers products, including differential assemblies, differential gears, conventional and micro-hybrid starter motors, belt starter generator (BSG) systems, electric vehicle (EV) traction motors and motor control units. The Company offers products to automotive original equipment manufacturers (OEM) across United States, Europe, India and China, for both electrified and nonelectrified powertrain segments. Its systems and component offerings include differential assemblies and precision forged differential bevel gears for both electrified and non-electrified passenger vehicles (PV), commercial vehicles (CV), off-highway vehicles (OHV) and three-wheelers, conventional and micro-hybrid starter motors.</v>
    <v>3143</v>
    <v>National Stock Exchange of India</v>
    <v>XNSE</v>
    <v>XNSE</v>
    <v>Village Begumpur Khatola Sector 35, Sona Enclave, GURGAON, HARYANA, 122 004 IN</v>
    <v>747.8</v>
    <v>Automobiles &amp; Auto Parts</v>
    <v>Stock</v>
    <v>44571.406377314815</v>
    <v>262</v>
    <v>733.9</v>
    <v>429002500000</v>
    <v>Sona BLW Precision Forgings Ltd</v>
    <v>Sona BLW Precision Forgings Ltd</v>
    <v>738</v>
    <v>153.44999999999999</v>
    <v>734.15</v>
    <v>739.35</v>
    <v>584352700</v>
    <v>SONACOMS</v>
    <v>Sona BLW Precision Forgings Ltd (XNSE:SONACOMS)</v>
    <v>795004</v>
    <v>1995</v>
  </rv>
  <rv s="2">
    <v>263</v>
  </rv>
  <rv s="0">
    <v>https://www.bing.com/financeapi/forcetrigger?t=ahh1k2&amp;q=XNSE%3aAUROPHARMA&amp;form=skydnc</v>
    <v>Learn more on Bing</v>
  </rv>
  <rv s="1">
    <v>en-IN</v>
    <v>ahh1k2</v>
    <v>268435456</v>
    <v>1</v>
    <v>Powered by Refinitiv</v>
    <v>0</v>
    <v>AUROBINDO PHARMA LTD (XNSE:AUROPHARMA)</v>
    <v>2</v>
    <v>3</v>
    <v>Finance</v>
    <v>4</v>
    <v>1063.9000000000001</v>
    <v>620.5</v>
    <v>0.71719999999999995</v>
    <v>29.3</v>
    <v>4.1267999999999999E-2</v>
    <v>INR</v>
    <v>Aurobindo Pharma Limited is a pharmaceutical company. The Company is engaged in producing oral and injectable generic formulations and active pharmaceutical ingredients (APIs). Its product portfolio is spread over seven therapeutic/product areas, including antibiotics, anti-retrovirals, cardiovascular, central nervous system, gastroenterologicals, anti-allergies and anti-diabetics. It is engaged in developing a range of oncology and hormonal products. It is also developing inhalation and dermatology products, such as pressurized metered-dose inhaler (pMDI). It markets its products through chain stores in the United States. It has developed over three injectable penem products. The Company, through its subsidiary, manufactures and sells nutritional supplements. It has over 10 manufacturing units and approximately two research and development centers. The Company, in addition to marketing its products domestically, also markets its products globally in over 150 countries.</v>
    <v>19364</v>
    <v>National Stock Exchange of India</v>
    <v>XNSE</v>
    <v>XNSE</v>
    <v>Galaxy, Floor 22-24, Plot No. 1, Survey No. 83/1,, Hyderabad Knowledge City,, Raidurg Panmaktha, HYDERABAD, TELANGANA, 500081 IN</v>
    <v>740</v>
    <v>Pharmaceuticals</v>
    <v>Stock</v>
    <v>44571.406365740739</v>
    <v>265</v>
    <v>712</v>
    <v>416016400000</v>
    <v>AUROBINDO PHARMA LTD</v>
    <v>AUROBINDO PHARMA LTD</v>
    <v>713.6</v>
    <v>7.98</v>
    <v>710</v>
    <v>739.3</v>
    <v>585938600</v>
    <v>AUROPHARMA</v>
    <v>AUROBINDO PHARMA LTD (XNSE:AUROPHARMA)</v>
    <v>2890495</v>
    <v>1986</v>
  </rv>
  <rv s="2">
    <v>266</v>
  </rv>
  <rv s="0">
    <v>https://www.bing.com/financeapi/forcetrigger?t=ahk9p2&amp;q=XNSE%3aTATACONSUM&amp;form=skydnc</v>
    <v>Learn more on Bing</v>
  </rv>
  <rv s="1">
    <v>en-IN</v>
    <v>ahk9p2</v>
    <v>268435456</v>
    <v>1</v>
    <v>Powered by Refinitiv</v>
    <v>0</v>
    <v>TATA CONSUMER PRODUCTS LIMITED (XNSE:TATACONSUM)</v>
    <v>2</v>
    <v>3</v>
    <v>Finance</v>
    <v>4</v>
    <v>889</v>
    <v>554.25</v>
    <v>0.75290000000000001</v>
    <v>-4.0999999999999996</v>
    <v>-5.5700000000000003E-3</v>
    <v>INR</v>
    <v>Tata Consumer Products Ltd, formerly Tata Global Beverages Limited, is a beverage company engaged in the trading, production and distribution of tea, coffee and water. The Company's activities include processing and blending of tea, including manufacture of instant tea. The Company's segments include Tea, which is engaged in the cultivation, manufacture, blending and sale of tea in packet, bulk or value-added forms; Coffee and Other Produce, which is engaged in the cultivation of coffee and related plantation crops, and sale of coffee in various value-added forms, and Others, which includes sale of water products and other businesses. Its Tata Tea brands include Tata Tea Premium, Tata Tea Gold, Tata Tea Life, Tata Tea Agni, Tata Tea Chakra Gold, Tata Tea Kannan Devan and Tata Tea Gemini. It has beverage business operations in India, Europe, the United States, Canada and Australia, plantation business in India/Sri Lanka and extraction business in India and the United States.</v>
    <v>2852</v>
    <v>National Stock Exchange of India</v>
    <v>XNSE</v>
    <v>XNSE</v>
    <v>11/13, Botawala Building, 1st Floor, Office #2 -6, Horniman Circle, MUMBAI, MAHARASHTRA, 400001 IN</v>
    <v>743</v>
    <v>Food &amp; Tobacco</v>
    <v>Stock</v>
    <v>44571.406331018516</v>
    <v>268</v>
    <v>731</v>
    <v>678354200000</v>
    <v>TATA CONSUMER PRODUCTS LIMITED</v>
    <v>TATA CONSUMER PRODUCTS LIMITED</v>
    <v>740.45</v>
    <v>93.47</v>
    <v>736.1</v>
    <v>732</v>
    <v>921551700</v>
    <v>TATACONSUM</v>
    <v>TATA CONSUMER PRODUCTS LIMITED (XNSE:TATACONSUM)</v>
    <v>1453381</v>
    <v>1962</v>
  </rv>
  <rv s="2">
    <v>269</v>
  </rv>
  <rv s="0">
    <v>http://en.wikipedia.org/wiki/ICICI_Bank</v>
    <v>Wikipedia</v>
  </rv>
  <rv s="5">
    <v>21</v>
    <v>271</v>
  </rv>
  <rv s="6">
    <v>14</v>
    <v>https://www.bing.com/th?id=AMMS_7a55564cbcf9b185c2bd50f7f3a85b23&amp;qlt=95</v>
    <v>272</v>
    <v>0</v>
    <v>https://www.bing.com/images/search?form=xlimg&amp;q=icici+bank</v>
    <v>Image of ICICI BANK LIMITED</v>
  </rv>
  <rv s="0">
    <v>https://www.bing.com/financeapi/forcetrigger?t=ahi877&amp;q=XNSE%3aICICIBANK&amp;form=skydnc</v>
    <v>Learn more on Bing</v>
  </rv>
  <rv s="7">
    <v>en-IN</v>
    <v>ahi877</v>
    <v>268435456</v>
    <v>1</v>
    <v>Powered by Refinitiv</v>
    <v>10</v>
    <v>ICICI BANK LIMITED (XNSE:ICICIBANK)</v>
    <v>12</v>
    <v>13</v>
    <v>Finance</v>
    <v>4</v>
    <v>867</v>
    <v>512</v>
    <v>1.3354999999999999</v>
    <v>18.100000000000001</v>
    <v>2.2818000000000001E-2</v>
    <v>INR</v>
    <v>ICICI Bank Limited is a banking company. The Bank is engaged in providing a range of banking and financial services, including commercial banking, retail banking, project and corporate finance, working capital finance, insurance, venture capital and private equity, investment banking, broking and treasury products and services. The Bank's business segments are Retail banking, Wholesale banking, Treasury, Other banking, Life insurance, General insurance and Others. It has a network of approximately 18,210 branches and automated teller machines (ATMs). The Bank has approximately 110 Touch Banking branches across over 30 cities. Its international banking is focused on providing solutions for the international banking requirements of its Indian corporate clients and leveraging economic corridors between India and the rest of the world. The Bank caters to the financial needs of women entrepreneurs through its Self-Help Group (SHG) program as a part of its microfinance initiatives.</v>
    <v>97488</v>
    <v>National Stock Exchange of India</v>
    <v>XNSE</v>
    <v>XNSE</v>
    <v>ICICI Bank Towers, Bandra-Kurla Complex, MUMBAI, MAHARASHTRA, 400051 IN</v>
    <v>812</v>
    <v>273</v>
    <v>Banking Services</v>
    <v>Stock</v>
    <v>44571.406354166669</v>
    <v>274</v>
    <v>799</v>
    <v>5507972000000</v>
    <v>ICICI BANK LIMITED</v>
    <v>ICICI BANK LIMITED</v>
    <v>800.25</v>
    <v>25.83</v>
    <v>793.25</v>
    <v>811.35</v>
    <v>6943551000</v>
    <v>ICICIBANK</v>
    <v>ICICI BANK LIMITED (XNSE:ICICIBANK)</v>
    <v>9552437</v>
    <v>1994</v>
  </rv>
  <rv s="2">
    <v>275</v>
  </rv>
  <rv s="0">
    <v>https://www.bing.com/financeapi/forcetrigger?t=ahki77&amp;q=XNSE%3aUPL&amp;form=skydnc</v>
    <v>Learn more on Bing</v>
  </rv>
  <rv s="1">
    <v>en-IN</v>
    <v>ahki77</v>
    <v>268435456</v>
    <v>1</v>
    <v>Powered by Refinitiv</v>
    <v>0</v>
    <v>UPL LIMITED (XNSE:UPL)</v>
    <v>2</v>
    <v>3</v>
    <v>Finance</v>
    <v>4</v>
    <v>864.7</v>
    <v>466.35</v>
    <v>1.0736000000000001</v>
    <v>31.1</v>
    <v>3.9419000000000003E-2</v>
    <v>INR</v>
    <v>UPL Limited provides crop protection solutions. The Company is engaged in the business of agrochemicals, industrial chemicals, chemical intermediates and specialty chemicals. The Company's segments include Agro activity and Non-agro activity. The Agro activity segment includes the manufacture and marketing of conventional agrochemical products, seeds and other agricultural related products. The Non-agro activity segment includes manufacture and marketing of industrial chemical and other non-agricultural related products. It offers fungicides, herbicides, insecticides, plant growth and regulators, rodenticides, industrial and specialty chemicals, and nutrifeeds. The Company sells its products in approximately 120 countries. It offers agrochemicals, such as Manzate Prostick, Vondozeb, Saaf, Cuprofix, Dost Super, Lifeline, Surflan, Saathi, Eros Gold, Phosphorus Trichloride, Phosphorus Oxychloride, Tri Ethyl Phosphite, Tri Iso Octyl Phosphite and Di Phenyl Iso Decyl Phosphite.</v>
    <v>12258</v>
    <v>National Stock Exchange of India</v>
    <v>XNSE</v>
    <v>XNSE</v>
    <v>Uniphos House, C. D. Marg, 11Th Roard, Madhu Park, MUMBAI, MAHARASHTRA, 400052 IN</v>
    <v>822.5</v>
    <v>Chemicals</v>
    <v>Stock</v>
    <v>44571.406388888892</v>
    <v>277</v>
    <v>791.7</v>
    <v>602793700000</v>
    <v>UPL LIMITED</v>
    <v>UPL LIMITED</v>
    <v>792.1</v>
    <v>19.97</v>
    <v>788.95</v>
    <v>820.05</v>
    <v>764045500</v>
    <v>UPL</v>
    <v>UPL LIMITED (XNSE:UPL)</v>
    <v>6714757</v>
    <v>1985</v>
  </rv>
  <rv s="2">
    <v>278</v>
  </rv>
  <rv s="0">
    <v>https://www.bing.com/financeapi/forcetrigger?t=bsg5qh&amp;q=XNSE%3aIRCTC&amp;form=skydnc</v>
    <v>Learn more on Bing</v>
  </rv>
  <rv s="8">
    <v>en-IN</v>
    <v>bsg5qh</v>
    <v>268435456</v>
    <v>1</v>
    <v>Powered by Refinitiv</v>
    <v>15</v>
    <v>INDIAN RAILWAY CATERING AND TOURISM CORPORATION LIMITED (XNSE:IRCTC)</v>
    <v>2</v>
    <v>16</v>
    <v>Finance</v>
    <v>4</v>
    <v>1279.26</v>
    <v>283.41000000000003</v>
    <v>11.75</v>
    <v>1.3648E-2</v>
    <v>INR</v>
    <v>Indian Railway Catering and Tourism Corporation Limited is an India-based company engaged in offering Internet ticketing, catering and tourism. The Company is engaged in offering catering and hospitality services at stations, on trains and other locations. Its segments include Catering and Hospitality; Internet Ticketing; Travel and Tourism, and Packaged Drinking Water (Rail Neer). The Catering and Hospitality segment includes Railway Catering and Non Railway Catering. The Company offers mobile catering, static catering, such as Food Plazas, executive lounges, budget hotels and central kitchen. Internet Ticketing segment includes online booking of train and air tickets, catering, tourism and portal shopping. The Travel and tourism segment develops tourism. It is engaged in offering state special tourist trains, corporate travel services, outbound air packages and cab rental services. It has over six Rail Neer plants located at Delhi, Patna, Palur, Ambernath, Amethi and Parassala.</v>
    <v>1417</v>
    <v>National Stock Exchange of India</v>
    <v>XNSE</v>
    <v>XNSE</v>
    <v>IRCTC Ltd, 11th Floor, B ? 148, Statesman House, Barakhamba Road, New Delhi ? 110 001, Delhi, Indi, DELHI, DELHI, 110001 IN</v>
    <v>878.75</v>
    <v>Passenger Transportation Services</v>
    <v>Stock</v>
    <v>44571.406365740739</v>
    <v>280</v>
    <v>862.5</v>
    <v>688760000000</v>
    <v>INDIAN RAILWAY CATERING AND TOURISM CORPORATION LIMITED</v>
    <v>INDIAN RAILWAY CATERING AND TOURISM CORPORATION LIMITED</v>
    <v>862.5</v>
    <v>162.78</v>
    <v>860.95</v>
    <v>872.7</v>
    <v>800000000</v>
    <v>IRCTC</v>
    <v>INDIAN RAILWAY CATERING AND TOURISM CORPORATION LIMITED (XNSE:IRCTC)</v>
    <v>4409829</v>
    <v>1999</v>
  </rv>
  <rv s="2">
    <v>281</v>
  </rv>
  <rv s="0">
    <v>https://www.bing.com/financeapi/forcetrigger?t=ahk6a2&amp;q=XNSE%3aSUNPHARMA&amp;form=skydnc</v>
    <v>Learn more on Bing</v>
  </rv>
  <rv s="1">
    <v>en-IN</v>
    <v>ahk6a2</v>
    <v>268435456</v>
    <v>1</v>
    <v>Powered by Refinitiv</v>
    <v>0</v>
    <v>SUN PHARMACEUTICAL INDUSTRIES LIMITED (XNSE:SUNPHARMA)</v>
    <v>2</v>
    <v>3</v>
    <v>Finance</v>
    <v>4</v>
    <v>860.05</v>
    <v>550.4</v>
    <v>0.66020000000000001</v>
    <v>-3.4</v>
    <v>-4.1019999999999997E-3</v>
    <v>INR</v>
    <v>Sun Pharmaceutical Industries Limited is a pharmaceuticals company. The Company's business segments include US Business, Indian Branded Generics Business, Emerging Markets, Global Consumer Healthcare Business and Active Pharmaceutical Ingredients (API). Its Rest of World segment includes Western Europe, Canada, Australia, New Zealand and other markets. The Company offers its products to therapy areas, such as cardiology, neuro-psychiatry, gastroenterology, anti-infective, diabetology and dermatology. The Company's products include AB PHYLLINE, ABZORB DUSTING POWDER, ACAMPROL, ACOSTIN 3 MIU, ACOSTIN FORTE and AB PHYLLINE SR 200. Its manufacturing units are situated in India, the United States and Brazil, among others. Its units produce generics, branded generics, specialty products, over-the-counter (OTC) products, anti-retroviral (ARVs) and APIs. They also produce intermediates in a range of dosage forms, including tablets, capsules, injectables, ointments, creams and liquids.</v>
    <v>37000</v>
    <v>National Stock Exchange of India</v>
    <v>XNSE</v>
    <v>XNSE</v>
    <v>Sun House, CTS No. 201 B/1,, Western Express Highway,, Goregaon (E), MUMBAI, MAHARASHTRA, 400063 IN</v>
    <v>835</v>
    <v>Pharmaceuticals</v>
    <v>Stock</v>
    <v>44571.406365740739</v>
    <v>283</v>
    <v>817.55</v>
    <v>1988929000000</v>
    <v>SUN PHARMACEUTICAL INDUSTRIES LIMITED</v>
    <v>SUN PHARMACEUTICAL INDUSTRIES LIMITED</v>
    <v>832.1</v>
    <v>31.95</v>
    <v>828.95</v>
    <v>825.55</v>
    <v>2399335000</v>
    <v>SUNPHARMA</v>
    <v>SUN PHARMACEUTICAL INDUSTRIES LIMITED (XNSE:SUNPHARMA)</v>
    <v>4594211</v>
    <v>1993</v>
  </rv>
  <rv s="2">
    <v>284</v>
  </rv>
  <rv s="0">
    <v>https://www.bing.com/financeapi/forcetrigger?t=ahkjqh&amp;q=XNSE%3aVBL&amp;form=skydnc</v>
    <v>Learn more on Bing</v>
  </rv>
  <rv s="1">
    <v>en-IN</v>
    <v>ahkjqh</v>
    <v>268435456</v>
    <v>1</v>
    <v>Powered by Refinitiv</v>
    <v>0</v>
    <v>VARUN BEVERAGES LIMITED (XNSE:VBL)</v>
    <v>2</v>
    <v>3</v>
    <v>Finance</v>
    <v>4</v>
    <v>1016</v>
    <v>569.37</v>
    <v>1.1068</v>
    <v>-1.9</v>
    <v>-2.232E-3</v>
    <v>INR</v>
    <v>Varun Beverages Limited is engaged in manufacturing, selling, bottling and distribution of beverages of Pepsi brand. The Company produces and distributes a range of carbonated soft drinks (CSDs), as well as a selection of non-carbonated beverages (NCBs), including packaged drinking water. PepsiCo CSD brands produced and sold by the Company include Pepsi, Diet Pepsi, Seven-Up, Mirinda Orange, Mirinda Lemon, Mountain Dew, Seven-Up Nimbooz Masala Soda, Seven-Up Revive and Evervess Soda. PepsiCo NCB brands produced and sold by the Company include Tropicana Slice, Tropicana Frutz, Seven-Up Nimbooz, as well as packaged drinking water under Aquafina brand. In addition, it also franchises for Ole brand of PepsiCo products in Sri Lanka. It operates in over 20 production facilities across India and over five production facilities in its international licensed territories. It franchises for various PepsiCo products spread across approximately 20 States and over two Union Territories in India.</v>
    <v>7808</v>
    <v>National Stock Exchange of India</v>
    <v>XNSE</v>
    <v>XNSE</v>
    <v>Plot No. 31, Institutional Area, Sector - 44, GURGAON, HARYANA, 122002 IN</v>
    <v>861.7</v>
    <v>Beverages</v>
    <v>Stock</v>
    <v>44571.406377314815</v>
    <v>286</v>
    <v>848</v>
    <v>368641100000</v>
    <v>VARUN BEVERAGES LIMITED</v>
    <v>VARUN BEVERAGES LIMITED</v>
    <v>854</v>
    <v>59.93</v>
    <v>851.3</v>
    <v>849.4</v>
    <v>433033100</v>
    <v>VBL</v>
    <v>VARUN BEVERAGES LIMITED (XNSE:VBL)</v>
    <v>210754</v>
    <v>1995</v>
  </rv>
  <rv s="2">
    <v>287</v>
  </rv>
  <rv s="0">
    <v>https://www.bing.com/financeapi/forcetrigger?t=brgdww&amp;q=XNSE%3aSAFARI&amp;form=skydnc</v>
    <v>Learn more on Bing</v>
  </rv>
  <rv s="8">
    <v>en-IN</v>
    <v>brgdww</v>
    <v>268435456</v>
    <v>1</v>
    <v>Powered by Refinitiv</v>
    <v>15</v>
    <v>SAFARI INDUSTRIES (INDIA) LIMITED (XNSE:SAFARI)</v>
    <v>2</v>
    <v>16</v>
    <v>Finance</v>
    <v>4</v>
    <v>987</v>
    <v>518.54999999999995</v>
    <v>9.6999999999999993</v>
    <v>1.0370999999999998E-2</v>
    <v>INR</v>
    <v>Safari Industries (India) Limited is engaged in manufacturing and trading of luggage and luggage accessories. The Company's product range includes polycarbonate (PC) zippered luggage. It also offers products under various categories, such as laptop bags and backpacks. Its Hard luggage includes Maximus 59 4W-Cyan-Cabin, Truce 71 4W-Silver-Medium, SIGMA 56 4W, SIGMA 65 4W, ORB 55 4W. Its Soft luggage includes Swift 55 4W-Red-Cabin, Swift 75 4W-Back-Large, AVENUE-4W-Blue-Cabin, Mosaic 4W-Silver-Medium. Its lightweight luggage includes TITANIUM 55 4W, ORB 77 4W, VIBE 55 4W. It backpacks categories include Everyday Casual Backpack, Laptop Backpacks, Rucksack, Concept Backpacks, Overnighter.</v>
    <v>1077</v>
    <v>National Stock Exchange of India</v>
    <v>XNSE</v>
    <v>XNSE</v>
    <v>(E) Andheri, Mathuradas Vasanji Road, MUMBAI, MAHARASHTRA, 400059 IN</v>
    <v>945</v>
    <v>Textiles &amp; Apparel</v>
    <v>Stock</v>
    <v>44571.406238425923</v>
    <v>289</v>
    <v>917.75</v>
    <v>20940900000</v>
    <v>SAFARI INDUSTRIES (INDIA) LIMITED</v>
    <v>SAFARI INDUSTRIES (INDIA) LIMITED</v>
    <v>939.75</v>
    <v>102.34</v>
    <v>935.3</v>
    <v>945</v>
    <v>22389500</v>
    <v>SAFARI</v>
    <v>SAFARI INDUSTRIES (INDIA) LIMITED (XNSE:SAFARI)</v>
    <v>11305</v>
    <v>1980</v>
  </rv>
  <rv s="2">
    <v>290</v>
  </rv>
  <rv s="0">
    <v>https://www.bing.com/financeapi/forcetrigger?t=ahk9dm&amp;q=XNSE%3aTATACHEM&amp;form=skydnc</v>
    <v>Learn more on Bing</v>
  </rv>
  <rv s="1">
    <v>en-IN</v>
    <v>ahk9dm</v>
    <v>268435456</v>
    <v>1</v>
    <v>Powered by Refinitiv</v>
    <v>0</v>
    <v>TATA CHEMICALS LIMITED (XNSE:TATACHEM)</v>
    <v>2</v>
    <v>3</v>
    <v>Finance</v>
    <v>4</v>
    <v>1158</v>
    <v>466</v>
    <v>1.2470000000000001</v>
    <v>12.7</v>
    <v>1.3696999999999999E-2</v>
    <v>INR</v>
    <v>Tata Chemicals Limited is a holding company. The Company is a manufacturer of soda ash and sodium bicarbonate for diverse industries, such as glass, detergents, silicates, textiles, food, pharmaceuticals, animal feed, mining and chemical processing. The Company operates through four segments: Inorganic Chemicals, which includes soda ash, salt, sodium bicarbonate, marine chemicals, caustic soda and cement; Fertilisers, which includes fertilizers and other traded products; Other Agri-inputs, including Rallis India Limited's operations, and Others, which includes pulses, spices, water purifier and nutritional solutions. The Company classifies its products under approximately three categories, including living essentials, industry essentials and farm essentials. The Company has a global presence with subsidiaries in the United Kingdom, Kenya and the United States.</v>
    <v>3872</v>
    <v>National Stock Exchange of India</v>
    <v>XNSE</v>
    <v>XNSE</v>
    <v>Leela Business Park,, Andheri - Kurla Road,, Andheri (East), MUMBAI, MAHARASHTRA, 400001 IN</v>
    <v>943.75</v>
    <v>Chemicals</v>
    <v>Stock</v>
    <v>44571.406354166669</v>
    <v>292</v>
    <v>925.3</v>
    <v>236210000000</v>
    <v>TATA CHEMICALS LIMITED</v>
    <v>TATA CHEMICALS LIMITED</v>
    <v>934</v>
    <v>36.76</v>
    <v>927.2</v>
    <v>939.9</v>
    <v>254756300</v>
    <v>TATACHEM</v>
    <v>TATA CHEMICALS LIMITED (XNSE:TATACHEM)</v>
    <v>1410333</v>
    <v>1939</v>
  </rv>
  <rv s="2">
    <v>293</v>
  </rv>
  <rv s="0">
    <v>https://www.bing.com/financeapi/forcetrigger?t=ahibur&amp;q=XNSE%3aINDUSINDBK&amp;form=skydnc</v>
    <v>Learn more on Bing</v>
  </rv>
  <rv s="1">
    <v>en-IN</v>
    <v>ahibur</v>
    <v>268435456</v>
    <v>1</v>
    <v>Powered by Refinitiv</v>
    <v>0</v>
    <v>INDUSIND BANK LTD. (XNSE:INDUSINDBK)</v>
    <v>2</v>
    <v>3</v>
    <v>Finance</v>
    <v>4</v>
    <v>1242</v>
    <v>789</v>
    <v>2.3149999999999999</v>
    <v>-1.5</v>
    <v>-1.6259999999999998E-3</v>
    <v>INR</v>
    <v>IndusInd Bank Limited (the Bank) is engaged in banking and para-banking services. The Bank is involved in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Corporate/Wholesale Banking, Retail Banking and Other Banking Operations.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 The Bank operates approximately 1,000 branches. The Company has operations in India.</v>
    <v>29661</v>
    <v>National Stock Exchange of India</v>
    <v>XNSE</v>
    <v>XNSE</v>
    <v>8th Floor, Tower 1, One Indiabulls Centre, 841, Senapati Bapat Marg, Elphinstone Road (W), MUMBAI, MAHARASHTRA, 400013 IN</v>
    <v>929.85</v>
    <v>Banking Services</v>
    <v>Stock</v>
    <v>44571.406377314815</v>
    <v>295</v>
    <v>918</v>
    <v>714327400000</v>
    <v>INDUSIND BANK LTD.</v>
    <v>INDUSIND BANK LTD.</v>
    <v>926.9</v>
    <v>18.07</v>
    <v>922.25</v>
    <v>920.75</v>
    <v>774548600</v>
    <v>INDUSINDBK</v>
    <v>INDUSIND BANK LTD. (XNSE:INDUSINDBK)</v>
    <v>2012404</v>
    <v>1994</v>
  </rv>
  <rv s="2">
    <v>296</v>
  </rv>
  <rv s="0">
    <v>https://www.bing.com/financeapi/forcetrigger?t=ahk1m7&amp;q=XNSE%3aSOBHA&amp;form=skydnc</v>
    <v>Learn more on Bing</v>
  </rv>
  <rv s="1">
    <v>en-IN</v>
    <v>ahk1m7</v>
    <v>268435456</v>
    <v>1</v>
    <v>Powered by Refinitiv</v>
    <v>0</v>
    <v>SOBHA LIMITED (XNSE:SOBHA)</v>
    <v>2</v>
    <v>3</v>
    <v>Finance</v>
    <v>4</v>
    <v>980</v>
    <v>395.15</v>
    <v>1.7918000000000001</v>
    <v>6.75</v>
    <v>7.9190000000000007E-3</v>
    <v>INR</v>
    <v>Sobha Limited is engaged in the construction and development of residential and commercial projects. The Company is also engaged in contractual projects. It has completed approximately 390 projects in both real estate and contracts verticals with a total developed area of over 81.64 million square feet. Its residential projects include luxury and super luxury apartments, villas, row houses, plotted development and aspirational homes. Its divisions include SOBHA Contracting and SOBHA Manufacturing. SOBHA Contracting provides end-to-end solutions starting from the conceptualization of a project to its final satisfactory completion. SOBHA Contracting's services include civil, mechanical, electrical, plumbing, interiors, glazing, metal works and landscaping. SOBHA Manufacturing comprises Interiors Division, Glazing and Metal Works Division, and Concrete Products Division. The Interiors Division also manufactures spring mattresses, which are sold under the brand name, SOBHA Restoplus.</v>
    <v>3061</v>
    <v>National Stock Exchange of India</v>
    <v>XNSE</v>
    <v>XNSE</v>
    <v>'SOBHA', Sarjapur - Marathahalli Outer Ring Road, Devarabisanahalli, Bellandur Post, BANGALORE, KARNATAKA, 560103 IN</v>
    <v>890</v>
    <v>Real Estate Operations</v>
    <v>Stock</v>
    <v>44571.406377314815</v>
    <v>298</v>
    <v>853.05</v>
    <v>80846600000</v>
    <v>SOBHA LIMITED</v>
    <v>SOBHA LIMITED</v>
    <v>877</v>
    <v>81.99</v>
    <v>852.4</v>
    <v>859.15</v>
    <v>94845850</v>
    <v>SOBHA</v>
    <v>SOBHA LIMITED (XNSE:SOBHA)</v>
    <v>496988</v>
    <v>1995</v>
  </rv>
  <rv s="2">
    <v>299</v>
  </rv>
  <rv s="0">
    <v>https://www.bing.com/financeapi/forcetrigger?t=bu1xmw&amp;q=XNSE%3aSBICARD&amp;form=skydnc</v>
    <v>Learn more on Bing</v>
  </rv>
  <rv s="8">
    <v>en-IN</v>
    <v>bu1xmw</v>
    <v>268435456</v>
    <v>1</v>
    <v>Powered by Refinitiv</v>
    <v>15</v>
    <v>SBI CARDS AND PAYMENT SERVICES LIMITED (XNSE:SBICARD)</v>
    <v>2</v>
    <v>16</v>
    <v>Finance</v>
    <v>4</v>
    <v>1165</v>
    <v>853.8</v>
    <v>-22.45</v>
    <v>-2.4219000000000001E-2</v>
    <v>INR</v>
    <v>SBI Cards and Payment Services Private Limited is an India-based company engaged on marketing and distribution of credit cards. The Company offer a wide range of credit card portfolio to individual cardholders and corporate clients, which includes lifestyle, rewards, travel and fuel, shopping, banking partnership cards and corporate cards. The Company is focused on offering customized benefits for its card holders, such as reward programs and discount programs, and are tailored for each target demographic. It also offers a co-brand credit card that is specifically targeted at medical doctors, which offers specialized medical professional liability insurance to its cardholders.</v>
    <v>3869</v>
    <v>National Stock Exchange of India</v>
    <v>XNSE</v>
    <v>XNSE</v>
    <v>2nd Floor, Tower-B, Infinity Towers,, DLF Cyber City, Block 2 Building 3, DLF Phase 2,, GURGAON, HARYANA, 122002 IN</v>
    <v>923</v>
    <v>Banking Services</v>
    <v>Stock</v>
    <v>44571.406342592592</v>
    <v>301</v>
    <v>897</v>
    <v>874195900000</v>
    <v>SBI CARDS AND PAYMENT SERVICES LIMITED</v>
    <v>SBI CARDS AND PAYMENT SERVICES LIMITED</v>
    <v>923</v>
    <v>84.22</v>
    <v>926.95</v>
    <v>904.5</v>
    <v>943088600</v>
    <v>SBICARD</v>
    <v>SBI CARDS AND PAYMENT SERVICES LIMITED (XNSE:SBICARD)</v>
    <v>1866868</v>
    <v>1998</v>
  </rv>
  <rv s="2">
    <v>302</v>
  </rv>
  <rv s="0">
    <v>https://www.bing.com/financeapi/forcetrigger?t=ahjpcw&amp;q=XNSE%3aRKFORGE&amp;form=skydnc</v>
    <v>Learn more on Bing</v>
  </rv>
  <rv s="1">
    <v>en-IN</v>
    <v>ahjpcw</v>
    <v>268435456</v>
    <v>1</v>
    <v>Powered by Refinitiv</v>
    <v>0</v>
    <v>RAMKRISHNA FORGINGS LTD (XNSE:RKFORGE)</v>
    <v>2</v>
    <v>3</v>
    <v>Finance</v>
    <v>4</v>
    <v>1260</v>
    <v>476.15</v>
    <v>1.5471999999999999</v>
    <v>0.15</v>
    <v>1.5080000000000001E-4</v>
    <v>INR</v>
    <v>Ramkrishna Forgings Limited is engaged in the manufacturing of forgings. The Company is operating in Forgings, and Tours &amp; Travels segments. The Company supplies its products to various sectors, such as domestic and overseas markets. It also operates as a critical safety item supplier for screw coupling, bolster suspension, side frame keys and draw gear assembly for railway coaches and wagon. The Company offers its products under product categories, such as rolled products, forged products and machined products. Its forgings are used in various industries and sectors, which include automotive, earth moving and mining, farm equipment, general engineering, railways, steel plants and oil exploration. Its facilities perform various activities, such as engineering and designing, press forgings, ring rolling, heat treatment, machining, surface treatment and quality inspection.</v>
    <v>1896</v>
    <v>National Stock Exchange of India</v>
    <v>XNSE</v>
    <v>XNSE</v>
    <v>Ramkrishna Chambers, 23, Circus Avenue, KOLKATA, WEST BENGAL, 700017 IN</v>
    <v>1014</v>
    <v>Metals &amp; Mining</v>
    <v>Stock</v>
    <v>44571.406354166669</v>
    <v>304</v>
    <v>987.5</v>
    <v>31817960000</v>
    <v>RAMKRISHNA FORGINGS LTD</v>
    <v>RAMKRISHNA FORGINGS LTD</v>
    <v>1008</v>
    <v>27.03</v>
    <v>994.85</v>
    <v>995</v>
    <v>31982680</v>
    <v>RKFORGE</v>
    <v>RAMKRISHNA FORGINGS LTD (XNSE:RKFORGE)</v>
    <v>222177</v>
    <v>1981</v>
  </rv>
  <rv s="2">
    <v>305</v>
  </rv>
  <rv s="0">
    <v>http://en.wikipedia.org/wiki/Cipla</v>
    <v>Wikipedia</v>
  </rv>
  <rv s="5">
    <v>21</v>
    <v>307</v>
  </rv>
  <rv s="6">
    <v>14</v>
    <v>https://www.bing.com/th?id=AMMS_82dad3312a4b20edef42341713bacf83&amp;qlt=95</v>
    <v>308</v>
    <v>0</v>
    <v>https://www.bing.com/images/search?form=xlimg&amp;q=cipla</v>
    <v>Image of CIPLA LIMITED</v>
  </rv>
  <rv s="0">
    <v>https://www.bing.com/financeapi/forcetrigger?t=ahhedm&amp;q=XNSE%3aCIPLA&amp;form=skydnc</v>
    <v>Learn more on Bing</v>
  </rv>
  <rv s="7">
    <v>en-IN</v>
    <v>ahhedm</v>
    <v>268435456</v>
    <v>1</v>
    <v>Powered by Refinitiv</v>
    <v>10</v>
    <v>CIPLA LIMITED (XNSE:CIPLA)</v>
    <v>12</v>
    <v>13</v>
    <v>Finance</v>
    <v>4</v>
    <v>1005</v>
    <v>738.1</v>
    <v>0.3352</v>
    <v>2.0499999999999998</v>
    <v>2.2409999999999999E-3</v>
    <v>INR</v>
    <v>Cipla Limited is a holding company. The Company is a pharmaceutical company. The Company's strategic business units include Active Pharmaceutical Ingredients (APIs), Respiratory and Cipla Global Access. The Company's geographical segments include India, USA, South Africa and Rest of the World. The Company manufactures metered dose inhalers, dry powder inhalers, nasal sprays, nebulizers and a range of inhaled accessory devices. Cipla Global Access is a tender-based institutional business that concentrates on approximately four therapy areas: human immunodeficiency virus/acquired immuno deficiency syndrome (HIV/AIDS), malaria, multi drug-resistant tuberculosis and reproductive health. The Company offers its products for the therapeutic areas, including cardiovascular, children's health, dermatology and cosmetology, diabetes, HIV/AIDS, infectious diseases and critical care, malaria, neurosciences, oncology, ophthalmology, osteoporosis, respiratory, urology and women's health.</v>
    <v>21565</v>
    <v>National Stock Exchange of India</v>
    <v>XNSE</v>
    <v>XNSE</v>
    <v>Cipla House, Peninsula Business Park, Ganpatrao Kadam Marg, Lower Parel,, MUMBAI, MAHARASHTRA, 400013 IN</v>
    <v>917.85</v>
    <v>309</v>
    <v>Pharmaceuticals</v>
    <v>Stock</v>
    <v>44571.406365740739</v>
    <v>310</v>
    <v>908.65</v>
    <v>738011400000</v>
    <v>CIPLA LIMITED</v>
    <v>CIPLA LIMITED</v>
    <v>914.75</v>
    <v>28.51</v>
    <v>914.75</v>
    <v>916.8</v>
    <v>806790200</v>
    <v>CIPLA</v>
    <v>CIPLA LIMITED (XNSE:CIPLA)</v>
    <v>1385275</v>
    <v>1935</v>
  </rv>
  <rv s="2">
    <v>311</v>
  </rv>
  <rv s="0">
    <v>https://www.bing.com/financeapi/forcetrigger?t=ahkfhw&amp;q=XNSE%3aTTKPRESTIG&amp;form=skydnc</v>
    <v>Learn more on Bing</v>
  </rv>
  <rv s="1">
    <v>en-IN</v>
    <v>ahkfhw</v>
    <v>268435456</v>
    <v>1</v>
    <v>Powered by Refinitiv</v>
    <v>0</v>
    <v>TTK PRESTIGE LIMITED (XNSE:TTKPRESTIG)</v>
    <v>2</v>
    <v>3</v>
    <v>Finance</v>
    <v>4</v>
    <v>1264.6500000000001</v>
    <v>582.23</v>
    <v>0.73670000000000002</v>
    <v>0.05</v>
    <v>4.9890000000000005E-5</v>
    <v>INR</v>
    <v>TTK Prestige Limited is a kitchen appliances company. The Company operates through two segments: Kitchen Appliances, and Property &amp; Investment. The Company's Kitchen Appliances segment offers a range of product categories, which consists of Pressure Cookers, Cookware, Gas Stoves and Domestic Kitchen Electrical Appliances. The Company also offers ovens, toasters and grills; mixers and grinders; kitchen hoods, hobs, cook tops and chimney's; kitchen tools, and induction cook tops. The Company also provides customer support and after sales service. The Company's brands include Prestige, Manttra and Prestige SmartKitchen. The Company operates approximately 500 Prestige SmartKitchen stores all over India.</v>
    <v>1442</v>
    <v>National Stock Exchange of India</v>
    <v>XNSE</v>
    <v>XNSE</v>
    <v>11th Floor, Brigade Towers, 135, Brigade Road, BANGALORE, KARNATAKA, 560025 IN</v>
    <v>1016.75</v>
    <v>Household Goods</v>
    <v>Stock</v>
    <v>44571.406319444446</v>
    <v>313</v>
    <v>1000.85</v>
    <v>138919000000</v>
    <v>TTK PRESTIGE LIMITED</v>
    <v>TTK PRESTIGE LIMITED</v>
    <v>1009.4</v>
    <v>44.9</v>
    <v>1002.2</v>
    <v>1002.25</v>
    <v>138614000</v>
    <v>TTKPRESTIG</v>
    <v>TTK PRESTIGE LIMITED (XNSE:TTKPRESTIG)</v>
    <v>38460</v>
    <v>1955</v>
  </rv>
  <rv s="2">
    <v>314</v>
  </rv>
  <rv s="0">
    <v>https://www.bing.com/financeapi/forcetrigger?t=bxo1ec&amp;q=XNSE%3aSTOVEKRAFT&amp;form=skydnc</v>
    <v>Learn more on Bing</v>
  </rv>
  <rv s="8">
    <v>en-IN</v>
    <v>bxo1ec</v>
    <v>268435456</v>
    <v>1</v>
    <v>Powered by Refinitiv</v>
    <v>15</v>
    <v>STOVE KRAFT LIMITED (XNSE:STOVEKRAFT)</v>
    <v>2</v>
    <v>16</v>
    <v>Finance</v>
    <v>4</v>
    <v>1133.7</v>
    <v>406.1</v>
    <v>-6.3</v>
    <v>-6.4600000000000005E-3</v>
    <v>INR</v>
    <v>Stove Kraft Limited is an India-based kitchen solutions and home solutions company. The Company is engaged in the manufacture and retail of a suite of kitchen solutions under its Pigeon and Gilma brands and manufactures kitchen solutions under the BLACK + DECKER brand, covering a range of kitchen solutions. Its kitchen solutions comprise of cookware and cooking appliances across its brands, and its home solutions comprise various household utilities, including consumer lighting. Its cookware products include pressure cookers, titanium hard anodized cookware, wondercast cookware, non-stick cookware and electric rice cookers. Its cooktops and other kitchen solutions include hobs, glass cooktops, stainless steel cooktops, induction cooktops and chimneys. Its small appliances include mixer grinders, rice cookers, electric kettles, toasters, sandwich makers, knives, roti makers, steam irons, juicers, food steamers, air fryers and electric grills.</v>
    <v>3312</v>
    <v>National Stock Exchange of India</v>
    <v>XNSE</v>
    <v>XNSE</v>
    <v>81/1, Medamarana Halli Village,, Harohalli Hobli, Kanakapura Taluk,, Ramanagara Dist, KARNATAKA, 562112 IN</v>
    <v>989</v>
    <v>Household Goods</v>
    <v>Stock</v>
    <v>44571.406331018516</v>
    <v>316</v>
    <v>968.1</v>
    <v>31948750000</v>
    <v>STOVE KRAFT LIMITED</v>
    <v>STOVE KRAFT LIMITED</v>
    <v>989</v>
    <v>36.53</v>
    <v>975.3</v>
    <v>969</v>
    <v>32757870</v>
    <v>STOVEKRAFT</v>
    <v>STOVE KRAFT LIMITED (XNSE:STOVEKRAFT)</v>
    <v>31347</v>
    <v>1999</v>
  </rv>
  <rv s="2">
    <v>317</v>
  </rv>
  <rv s="0">
    <v>https://www.bing.com/financeapi/forcetrigger?t=ahgq1h&amp;q=XNSE%3aAARTIIND&amp;form=skydnc</v>
    <v>Learn more on Bing</v>
  </rv>
  <rv s="1">
    <v>en-IN</v>
    <v>ahgq1h</v>
    <v>268435456</v>
    <v>1</v>
    <v>Powered by Refinitiv</v>
    <v>0</v>
    <v>AARTI INDUSTRIES LTD (XNSE:AARTIIND)</v>
    <v>2</v>
    <v>3</v>
    <v>Finance</v>
    <v>4</v>
    <v>1168</v>
    <v>536.28</v>
    <v>1.028</v>
    <v>54.95</v>
    <v>5.33E-2</v>
    <v>INR</v>
    <v>Aarti Industries Limited is a manufacturer of specialty chemicals and pharmaceuticals. The Company is also engaged in the manufacture of home and personal care products. The Company operates through three segments: Speciality Chemicals, Pharmaceuticals, and Home &amp; Personal Care Chemicals.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Its Home &amp; Personal Care Chemicals segment serves non-ionic surfactants, and concentrates for shampoo, hand wash and dish wash markets. The Company is integrated across over 70 products. Its products include benzene-based intermediates, sulfuric acid and its allied products, active pharmaceutical ingredient, agrochemicals and dyes.</v>
    <v>7111</v>
    <v>National Stock Exchange of India</v>
    <v>XNSE</v>
    <v>XNSE</v>
    <v>222, Udyog Kshetra, L.B.S. Marg, Mulund-Goregaon Link Rd, Mulund(W), MUMBAI, MAHARASHTRA, 400080 IN</v>
    <v>1087.95</v>
    <v>Chemicals</v>
    <v>Stock</v>
    <v>44571.406319444446</v>
    <v>319</v>
    <v>1027.05</v>
    <v>373723500000</v>
    <v>AARTI INDUSTRIES LTD</v>
    <v>AARTI INDUSTRIES LTD</v>
    <v>1034.8</v>
    <v>64</v>
    <v>1030.95</v>
    <v>1085.9000000000001</v>
    <v>362504000</v>
    <v>AARTIIND</v>
    <v>AARTI INDUSTRIES LTD (XNSE:AARTIIND)</v>
    <v>1857969</v>
    <v>1984</v>
  </rv>
  <rv s="2">
    <v>320</v>
  </rv>
  <rv s="0">
    <v>https://www.bing.com/financeapi/forcetrigger?t=ahkeu2&amp;q=XNSE%3aTRENT&amp;form=skydnc</v>
    <v>Learn more on Bing</v>
  </rv>
  <rv s="1">
    <v>en-IN</v>
    <v>ahkeu2</v>
    <v>268435456</v>
    <v>1</v>
    <v>Powered by Refinitiv</v>
    <v>0</v>
    <v>TRENT LIMITED (XNSE:TRENT)</v>
    <v>2</v>
    <v>3</v>
    <v>Finance</v>
    <v>4</v>
    <v>1209.95</v>
    <v>585</v>
    <v>0.86329999999999996</v>
    <v>-14.85</v>
    <v>-1.3684E-2</v>
    <v>INR</v>
    <v>Trent Limited is engaged in the retail sale of readymade garments. The Company's segments include Retailing and Others. It primarily operates stores across three formats: Westside, Star and Landmark. Westside offers apparel, footwear and accessories for men, women and children, along with furnishings, decor and a range of home accessories. It offers products in approximately 60 cities across over 90 stores. Star hypermarket and convenience store chain offers a range of products, including staple foods, beverages, health and beauty products, apparel, home furnishings, vegetables, fruits, dairy and non-vegetarian products. The Star brand operates through approximately 30 stores under Star Daily, Star Market &amp; Star Hyper banners. Landmark is a family entertainment format that offers a range of toys, front-list books and sports merchandize. Westside offers in-house fashion brands, such as Wunderlove, Sassy Soda, StudioWest, Zuba, Bombay Paisley, Denim Shop and Gourmet West, among others.</v>
    <v>9841</v>
    <v>National Stock Exchange of India</v>
    <v>XNSE</v>
    <v>XNSE</v>
    <v>Trent House, G-Block, Plot No C:-60, Besides Citi Bank,, MUMBAI, MAHARASHTRA, 400051 IN</v>
    <v>1094.75</v>
    <v>Diversified Retail</v>
    <v>Stock</v>
    <v>44571.406365740739</v>
    <v>322</v>
    <v>1062</v>
    <v>385775000000</v>
    <v>TRENT LIMITED</v>
    <v>TRENT LIMITED</v>
    <v>1090</v>
    <v>560.71</v>
    <v>1085.2</v>
    <v>1070.3499999999999</v>
    <v>355487500</v>
    <v>TRENT</v>
    <v>TRENT LIMITED (XNSE:TRENT)</v>
    <v>500142</v>
    <v>1952</v>
  </rv>
  <rv s="2">
    <v>323</v>
  </rv>
  <rv s="0">
    <v>https://www.bing.com/financeapi/forcetrigger?t=ahh1bh&amp;q=XNSE%3aAUBANK&amp;form=skydnc</v>
    <v>Learn more on Bing</v>
  </rv>
  <rv s="1">
    <v>en-IN</v>
    <v>ahh1bh</v>
    <v>268435456</v>
    <v>1</v>
    <v>Powered by Refinitiv</v>
    <v>0</v>
    <v>AU SMALL FINANCE BANK LIMITED (XNSE:AUBANK)</v>
    <v>2</v>
    <v>3</v>
    <v>Finance</v>
    <v>4</v>
    <v>1389.85</v>
    <v>842.5</v>
    <v>1.5558000000000001</v>
    <v>15.75</v>
    <v>1.2899000000000001E-2</v>
    <v>INR</v>
    <v>AU Small Finance Bank Ltd is an India-based company, which provides banking services. The Company offers online banking system, payments through online, debit card service, bank lockers and merchant payment services. It provides various types of accounts which include savings account, current account, recurring deposit account, and fixed deposit account. The banking segment provides loans and transaction services to corporates, emerging corporates, public sector units, government bodies, financial institutions, and medium scale enterprises. The Company’s offers different types of retail loans which includes vehicle loan, car loan, home loan, personal loan, and loan against vehicle.</v>
    <v>22484</v>
    <v>National Stock Exchange of India</v>
    <v>XNSE</v>
    <v>XNSE</v>
    <v>Bank House, Mile 0, Ajmer Road, JAIPUR, RAJASTHAN, 302001 IN</v>
    <v>1246.5</v>
    <v>Banking Services</v>
    <v>Stock</v>
    <v>44571.406342592592</v>
    <v>325</v>
    <v>1222.1500000000001</v>
    <v>383112500000</v>
    <v>AU SMALL FINANCE BANK LIMITED</v>
    <v>AU SMALL FINANCE BANK LIMITED</v>
    <v>1232.8</v>
    <v>33.44</v>
    <v>1221</v>
    <v>1236.75</v>
    <v>313769400</v>
    <v>AUBANK</v>
    <v>AU SMALL FINANCE BANK LIMITED (XNSE:AUBANK)</v>
    <v>1594619</v>
    <v>1996</v>
  </rv>
  <rv s="2">
    <v>326</v>
  </rv>
  <rv s="0">
    <v>https://www.bing.com/financeapi/forcetrigger?t=ahkaa2&amp;q=XNSE%3aTATASTEEL&amp;form=skydnc</v>
    <v>Learn more on Bing</v>
  </rv>
  <rv s="1">
    <v>en-IN</v>
    <v>ahkaa2</v>
    <v>268435456</v>
    <v>1</v>
    <v>Powered by Refinitiv</v>
    <v>0</v>
    <v>TATA STEEL LIMITED (XNSE:TATASTEEL)</v>
    <v>2</v>
    <v>3</v>
    <v>Finance</v>
    <v>4</v>
    <v>1534.5</v>
    <v>596</v>
    <v>1.3035000000000001</v>
    <v>8.5</v>
    <v>7.3250000000000008E-3</v>
    <v>INR</v>
    <v>TATA Steel Limited is a diversified steel producer. The Company is engaged in the business of steel making, including raw material and finishing operations. The Company's segments are Steel and Others. Its operations predominantly relate to manufacture of steel. The Others business segment comprises tubes, bearings, refractories, pigments, port operations and town services. Its products include flat products, including hot rolled, cold rolled, metallic coated, direct rolled, tubes, pre-finished steels, packaging steels, electro plated steels, electrical steels and narrow strip; construction products, including structural steel, floors, walls, roofs, modular and building components; agricultural implements, and bearings. It offers auto assembly components, ball bearings, tapered roller bearings, magneto bearings, clutch release assemblies, fan support assemblies and cylindrical roller bearings. Its brands include Tata Structura, TISCON, Tata Shaktee, Tata Astrum and Tata Steelium.</v>
    <v>73962</v>
    <v>National Stock Exchange of India</v>
    <v>XNSE</v>
    <v>XNSE</v>
    <v>2nd Floor, Bombay House, 24 Homi Mody Street, Fort, MUMBAI, MAHARASHTRA, 400001 IN</v>
    <v>1173.4000000000001</v>
    <v>Metals &amp; Mining</v>
    <v>Stock</v>
    <v>44571.406388888892</v>
    <v>328</v>
    <v>1153.8499999999999</v>
    <v>1396831000000</v>
    <v>TATA STEEL LIMITED</v>
    <v>TATA STEEL LIMITED</v>
    <v>1165</v>
    <v>3.2</v>
    <v>1160.3499999999999</v>
    <v>1168.8499999999999</v>
    <v>1204127000</v>
    <v>TATASTEEL</v>
    <v>TATA STEEL LIMITED (XNSE:TATASTEEL)</v>
    <v>3535974</v>
    <v>1907</v>
  </rv>
  <rv s="2">
    <v>329</v>
  </rv>
  <rv s="0">
    <v>https://www.bing.com/financeapi/forcetrigger?t=ahju3m&amp;q=XNSE%3aSBILIFE&amp;form=skydnc</v>
    <v>Learn more on Bing</v>
  </rv>
  <rv s="1">
    <v>en-IN</v>
    <v>ahju3m</v>
    <v>268435456</v>
    <v>1</v>
    <v>Powered by Refinitiv</v>
    <v>0</v>
    <v>SBI LIFE INSURANCE COMPANY LIMITED (XNSE:SBILIFE)</v>
    <v>2</v>
    <v>3</v>
    <v>Finance</v>
    <v>4</v>
    <v>1273.9000000000001</v>
    <v>838</v>
    <v>0.83279999999999998</v>
    <v>12.6</v>
    <v>1.035E-2</v>
    <v>INR</v>
    <v>SBI Life Insurance Company Limited is an India-based company, which offers life insurance. The Company offers a range of services, such as premium calculator, retirement planner, child education planner and tax calculator. Its individual plans include unit linked plans, child plans, retirement plans, protection plans and savings plans. Its group plans include Corporate Solutions, Group Loan Protection Products and Group Micro Insurance Plans. Its corporate solutions include retirement solutions, such as SBI Life-Kalyan ULIP Plus, SBI life-CapAssure Gold and SBI life-Swarna Jeevan, and group protection plans, such as SBI Life-Pradhan Mantri Jeevan Jyoti Bima Yojana, SBI Life-Sampoorn Suraksha and SBI Life-Suraksha Plus. Its Group Loan Protection Product includes SBI Life-RiNn Raksha. Its Group Micro Insurance Plans include SBI Life-Grameen Shakti and SBI Life-Grameen Super Suraksha. Its Online Plans include SBI Life-eIncome Shield, SBI Life-eShield and SBI Life-Annuity Plus.</v>
    <v>17464</v>
    <v>National Stock Exchange of India</v>
    <v>XNSE</v>
    <v>XNSE</v>
    <v>'NATRAJ', M. V. Road and Western Express Highway Junction, Andheri (East), MUMBAI, MAHARASHTRA, 400069 IN</v>
    <v>1240.7</v>
    <v>Insurance</v>
    <v>Stock</v>
    <v>44571.406342592592</v>
    <v>331</v>
    <v>1213.3</v>
    <v>1217745000000</v>
    <v>SBI LIFE INSURANCE COMPANY LIMITED</v>
    <v>SBI LIFE INSURANCE COMPANY LIMITED</v>
    <v>1219</v>
    <v>98.49</v>
    <v>1217.4000000000001</v>
    <v>1230</v>
    <v>1000283000</v>
    <v>SBILIFE</v>
    <v>SBI LIFE INSURANCE COMPANY LIMITED (XNSE:SBILIFE)</v>
    <v>1275200</v>
    <v>2000</v>
  </rv>
  <rv s="2">
    <v>332</v>
  </rv>
  <rv s="0">
    <v>https://www.bing.com/financeapi/forcetrigger?t=ahkmim&amp;q=XNSE%3aVOLTAS&amp;form=skydnc</v>
    <v>Learn more on Bing</v>
  </rv>
  <rv s="1">
    <v>en-IN</v>
    <v>ahkmim</v>
    <v>268435456</v>
    <v>1</v>
    <v>Powered by Refinitiv</v>
    <v>0</v>
    <v>VOLTAS LIMITED (XNSE:VOLTAS)</v>
    <v>2</v>
    <v>3</v>
    <v>Finance</v>
    <v>4</v>
    <v>1356.9</v>
    <v>830.55</v>
    <v>0.93730000000000002</v>
    <v>-17.7</v>
    <v>-1.3927E-2</v>
    <v>INR</v>
    <v>Voltas Limited is an air conditioning and engineering company. The Company is engaged in room air conditioners, contract revenue, commercial refrigeration products and sale of services. The Company's segments include Electro-mechanical Projects and Services; Engineering Products and Services; Unitary Cooling Products for Comfort and Commercial use, and Others. The Company is engaged in the field of air conditioning, refrigeration, as well as in the business of electro-mechanical projects as an engineering, procurement and construction (EPC) contractor. The Company is also engaged in the business of engineering product services for mining, water management and treatment, construction equipment and textile industry. The Company offers products, including textile machinery; mining and construction equipment; heating, ventilation, air conditioning and refrigeration (HVAC&amp;R), and water coolers and dispensers. The Company has presence in India, the Middle East, among others.</v>
    <v>8617</v>
    <v>National Stock Exchange of India</v>
    <v>XNSE</v>
    <v>XNSE</v>
    <v>Voltas House, A' Block, Dr. Babasaheb Ambedkar Road, MUMBAI, MAHARASHTRA, 400033 IN</v>
    <v>1281.3499999999999</v>
    <v>Machinery, Equipment &amp; Components</v>
    <v>Stock</v>
    <v>44571.406331018516</v>
    <v>334</v>
    <v>1251</v>
    <v>420413700000</v>
    <v>VOLTAS LIMITED</v>
    <v>VOLTAS LIMITED</v>
    <v>1275</v>
    <v>71.180000000000007</v>
    <v>1270.9000000000001</v>
    <v>1253.2</v>
    <v>330800000</v>
    <v>VOLTAS</v>
    <v>VOLTAS LIMITED (XNSE:VOLTAS)</v>
    <v>796046</v>
    <v>1954</v>
  </rv>
  <rv s="2">
    <v>335</v>
  </rv>
  <rv s="0">
    <v>https://www.bing.com/financeapi/forcetrigger?t=azjfim&amp;q=XNSE%3aHAL&amp;form=skydnc</v>
    <v>Learn more on Bing</v>
  </rv>
  <rv s="1">
    <v>en-IN</v>
    <v>azjfim</v>
    <v>268435456</v>
    <v>1</v>
    <v>Powered by Refinitiv</v>
    <v>0</v>
    <v>HINDUSTAN AERONAUTICS LIMITED (XNSE:HAL)</v>
    <v>2</v>
    <v>3</v>
    <v>Finance</v>
    <v>4</v>
    <v>1566</v>
    <v>856.8</v>
    <v>1.2049000000000001</v>
    <v>39.700000000000003</v>
    <v>3.1593000000000003E-2</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1300</v>
    <v>Aerospace &amp; Defense</v>
    <v>Stock</v>
    <v>44571.406354166669</v>
    <v>337</v>
    <v>1256.6500000000001</v>
    <v>420191300000</v>
    <v>HINDUSTAN AERONAUTICS LIMITED</v>
    <v>HINDUSTAN AERONAUTICS LIMITED</v>
    <v>1256.6500000000001</v>
    <v>11.95</v>
    <v>1256.5999999999999</v>
    <v>1296.3</v>
    <v>334387500</v>
    <v>HAL</v>
    <v>HINDUSTAN AERONAUTICS LIMITED (XNSE:HAL)</v>
    <v>1279601</v>
    <v>1963</v>
  </rv>
  <rv s="2">
    <v>338</v>
  </rv>
  <rv s="0">
    <v>https://www.bing.com/financeapi/forcetrigger?t=ahi3dm&amp;q=XNSE%3aHCLTECH&amp;form=skydnc</v>
    <v>Learn more on Bing</v>
  </rv>
  <rv s="1">
    <v>en-IN</v>
    <v>ahi3dm</v>
    <v>268435456</v>
    <v>1</v>
    <v>Powered by Refinitiv</v>
    <v>0</v>
    <v>HCL TECHNOLOGIES LIMITED (XNSE:HCLTECH)</v>
    <v>2</v>
    <v>3</v>
    <v>Finance</v>
    <v>4</v>
    <v>1377.75</v>
    <v>886.65</v>
    <v>0.84770000000000001</v>
    <v>-2.2000000000000002</v>
    <v>-1.7050000000000001E-3</v>
    <v>INR</v>
    <v>HCL Technologies Limited is engaged in providing a range of software development services, business process outsourcing services and information technology (IT) infrastructure services. The Company's segments include software services, infrastructure management services and business process outsourcing services. The software services segment provides application development and maintenance, enterprise application, software as a service (SAAS) application services and engineering, and research and development (R&amp;D) services to global customers. The infrastructure management services segment involves managing customer's IT assets. The business process outsourcing services segment includes contact center and help desk services. The Company delivers its solutions across select verticals, including financial services, manufacturing, retail and consumer products, media, publishing and entertainment, public services, energy and utility, healthcare, and travel, transport and logistics.</v>
    <v>187634</v>
    <v>National Stock Exchange of India</v>
    <v>XNSE</v>
    <v>XNSE</v>
    <v>Technology Hub, SEZ, Plot No. 3A, Sector 126, NOIDA, UTTAR PRADESH, 201304 IN</v>
    <v>1304.8499999999999</v>
    <v>Software &amp; IT Services</v>
    <v>Stock</v>
    <v>44571.406377314815</v>
    <v>340</v>
    <v>1280</v>
    <v>3502121000000</v>
    <v>HCL TECHNOLOGIES LIMITED</v>
    <v>HCL TECHNOLOGIES LIMITED</v>
    <v>1304.8499999999999</v>
    <v>0</v>
    <v>1290.55</v>
    <v>1288.3499999999999</v>
    <v>2713665000</v>
    <v>HCLTECH</v>
    <v>HCL TECHNOLOGIES LIMITED (XNSE:HCLTECH)</v>
    <v>2321964</v>
    <v>1991</v>
  </rv>
  <rv s="2">
    <v>341</v>
  </rv>
  <rv s="0">
    <v>https://www.bing.com/financeapi/forcetrigger?t=ahk9rw&amp;q=XNSE%3aTATAINVEST&amp;form=skydnc</v>
    <v>Learn more on Bing</v>
  </rv>
  <rv s="1">
    <v>en-IN</v>
    <v>ahk9rw</v>
    <v>268435456</v>
    <v>1</v>
    <v>Powered by Refinitiv</v>
    <v>0</v>
    <v>TATA INVESTMENT CORPORATION LIMITED (XNSE:TATAINVEST)</v>
    <v>2</v>
    <v>3</v>
    <v>Finance</v>
    <v>4</v>
    <v>1733.9</v>
    <v>980</v>
    <v>0.96020000000000005</v>
    <v>53.6</v>
    <v>3.7976000000000003E-2</v>
    <v>INR</v>
    <v>Tata Investment Corporation Limited is an investment company. The Company's activities primarily consist of investing in long term investments in equity shares, debt instruments, listed and unlisted, and equity related securities of companies in a range of industries. The Company invests in a portfolio of quoted and unquoted securities of companies, including Tata Companies, which are engaged in various businesses. Its primary sources of income consist of dividend income and net profit on sale of investments. The Company also invests in units of mutual funds, bonds and venture capital funds. In addition, the Company invests in various sectors, such as banks; cement; chemicals and fertilizers; electricity and transmission; electrical and electronics; engineering, construction and infrastructure; fast moving consumer goods; finance, services and investments; healthcare; hotels; information technology, and metals and mining. Simto Investment Company Ltd. is a subsidiary of the Company.</v>
    <v>18406</v>
    <v>National Stock Exchange of India</v>
    <v>XNSE</v>
    <v>XNSE</v>
    <v>Elphinstone building, 10 Veer Nariman Road, MUMBAI, MAHARASHTRA, 400001 IN</v>
    <v>1472.8</v>
    <v>Investment Banking &amp; Investment Services</v>
    <v>Stock</v>
    <v>44571.406342592592</v>
    <v>343</v>
    <v>1422.4</v>
    <v>71410200000</v>
    <v>TATA INVESTMENT CORPORATION LIMITED</v>
    <v>TATA INVESTMENT CORPORATION LIMITED</v>
    <v>1430</v>
    <v>38.71</v>
    <v>1411.4</v>
    <v>1465</v>
    <v>50595300</v>
    <v>TATAINVEST</v>
    <v>TATA INVESTMENT CORPORATION LIMITED (XNSE:TATAINVEST)</v>
    <v>64824</v>
    <v>1937</v>
  </rv>
  <rv s="2">
    <v>344</v>
  </rv>
  <rv s="0">
    <v>http://en.wikipedia.org/wiki/HDFC_Bank</v>
    <v>Wikipedia</v>
  </rv>
  <rv s="5">
    <v>21</v>
    <v>346</v>
  </rv>
  <rv s="6">
    <v>14</v>
    <v>https://www.bing.com/th?id=AMMS_c643fbc43e47b24065ddbb05b826221c&amp;qlt=95</v>
    <v>347</v>
    <v>0</v>
    <v>https://www.bing.com/images/search?form=xlimg&amp;q=hdfc+bank</v>
    <v>Image of HDFC BANK LIMITED</v>
  </rv>
  <rv s="0">
    <v>https://www.bing.com/financeapi/forcetrigger?t=ahi3jc&amp;q=XNSE%3aHDFCBANK&amp;form=skydnc</v>
    <v>Learn more on Bing</v>
  </rv>
  <rv s="7">
    <v>en-IN</v>
    <v>ahi3jc</v>
    <v>268435456</v>
    <v>1</v>
    <v>Powered by Refinitiv</v>
    <v>10</v>
    <v>HDFC BANK LIMITED (XNSE:HDFCBANK)</v>
    <v>12</v>
    <v>13</v>
    <v>Finance</v>
    <v>4</v>
    <v>1725</v>
    <v>1342</v>
    <v>1.0975999999999999</v>
    <v>9.1999999999999993</v>
    <v>5.9330000000000008E-3</v>
    <v>INR</v>
    <v>HDFC Bank Limited (the Bank) is a holding company. The Bank offers a range of banking services covering commercial and investment banking on the wholesale side and transactional/branch banking on the retail side. It also offers financial services. The Bank's segments include Treasury, Retail banking, Wholesale banking and Other banking business. The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a branch network and other delivery channels, as well as through alternative delivery channels. The Bank provides its corporate and institutional clients a range of commercial and transactional banking products. The Other banking business segment includes income from para banking activities.</v>
    <v>129341</v>
    <v>National Stock Exchange of India</v>
    <v>XNSE</v>
    <v>XNSE</v>
    <v>iTHINK Techno Campus, Bldg B, Alpha,, Vikhroli Link Rd, Kanjur Marg East, MUMBAI, MAHARASHTRA, 400042 IN</v>
    <v>1572</v>
    <v>348</v>
    <v>Banking Services</v>
    <v>Stock</v>
    <v>44571.406319444446</v>
    <v>349</v>
    <v>1545.5</v>
    <v>8593768000000</v>
    <v>HDFC BANK LIMITED</v>
    <v>HDFC BANK LIMITED</v>
    <v>1558</v>
    <v>25.01</v>
    <v>1550.55</v>
    <v>1559.75</v>
    <v>5542399000</v>
    <v>HDFCBANK</v>
    <v>HDFC BANK LIMITED (XNSE:HDFCBANK)</v>
    <v>4128702</v>
    <v>1994</v>
  </rv>
  <rv s="2">
    <v>350</v>
  </rv>
  <rv s="0">
    <v>https://www.bing.com/financeapi/forcetrigger?t=c2k8c7&amp;q=XNSE%3aKIMS&amp;form=skydnc</v>
    <v>Learn more on Bing</v>
  </rv>
  <rv s="9">
    <v>en-IN</v>
    <v>c2k8c7</v>
    <v>268435456</v>
    <v>1</v>
    <v>Powered by Refinitiv</v>
    <v>17</v>
    <v>KRISHNA INSTITUTE OF MEDICAL SCIENCES LIMITED (XNSE:KIMS)</v>
    <v>2</v>
    <v>18</v>
    <v>Finance</v>
    <v>4</v>
    <v>1565</v>
    <v>937.55</v>
    <v>46.3</v>
    <v>3.2504999999999999E-2</v>
    <v>INR</v>
    <v>Krishna Institute of Medical Sciences Ltd is an India-based company, engaged in the business of rendering medical and healthcare services. The Company offers a range of healthcare services approximately around 25 specialties including cardiac sciences, oncology, neurosciences, gastric sciences, orthopedics, organ transplantation, renal sciences and mother and childcare. Its hospital network includes in Andhra Pradesh,Telangana, Karnataka (Bangalore and greater Karnataka), Odisha (Bhubaneswar), Tamil Nadu (Chennai)and Central India (Indore, Aurangabad, Nagpur, and Raipur). The Company’s institutes includes, Apollo Hospitals Enterprise Ltd. (AHEL), Fortis Healthcare Ltd (Fortis), Max Healthcare Institute Ltd (MHIL), Healthcare Global Enterprises Ltd (HCGEL), Shalby Ltd (Shalby), Narayana Hrudalaya Ltd (NH), Kovai Medical Center and Hospital Ltd (KMCHL), Krishna Institute of Medical Sciences Ltd. (KIMS Ltd) and Manipal Health Enterprises Private Limited (MHEPL).</v>
    <v>National Stock Exchange of India</v>
    <v>XNSE</v>
    <v>XNSE</v>
    <v>1-8-31/1, Minister Rd, Krishna Nagar Colony, Begumpet, SECUNDERABAD, TELANGANA, 500003 IN</v>
    <v>1475</v>
    <v>Healthcare Providers &amp; Services</v>
    <v>Stock</v>
    <v>44571.406365740739</v>
    <v>352</v>
    <v>1422.05</v>
    <v>113991600000</v>
    <v>KRISHNA INSTITUTE OF MEDICAL SCIENCES LIMITED</v>
    <v>KRISHNA INSTITUTE OF MEDICAL SCIENCES LIMITED</v>
    <v>1424.4</v>
    <v>40.43</v>
    <v>1424.4</v>
    <v>1470.7</v>
    <v>80027790</v>
    <v>KIMS</v>
    <v>KRISHNA INSTITUTE OF MEDICAL SCIENCES LIMITED (XNSE:KIMS)</v>
    <v>84079</v>
    <v>1973</v>
  </rv>
  <rv s="2">
    <v>353</v>
  </rv>
  <rv s="0">
    <v>https://www.bing.com/financeapi/forcetrigger?t=ahhcf2&amp;q=XNSE%3aCDSL&amp;form=skydnc</v>
    <v>Learn more on Bing</v>
  </rv>
  <rv s="1">
    <v>en-IN</v>
    <v>ahhcf2</v>
    <v>268435456</v>
    <v>1</v>
    <v>Powered by Refinitiv</v>
    <v>0</v>
    <v>CENTRAL DEPOSITORY SERVICES (INDIA) LIMITED (XNSE:CDSL)</v>
    <v>2</v>
    <v>3</v>
    <v>Finance</v>
    <v>4</v>
    <v>1734.4</v>
    <v>476.35</v>
    <v>0.73729999999999996</v>
    <v>-0.25</v>
    <v>-1.6129999999999999E-4</v>
    <v>INR</v>
    <v>Central Depository Services (India) Limited operates as a securities depository in India. The Company offers service for a range of clients, such as depositary participants and other capital market intermediaries, corporates, capital market intermediaries, insurance companies and others. The Company offers dematerialization for a range of securities, including equity shares, preference shares, mutual fund units, debt instruments, government securities. As a securities depository, the Company facilitates holding of securities in electronic form and enable securities transactions (including off-market transfer and pledge) to be processed by book entry. The Company provides services for capital market intermediaries by offering know your customer (KYC) services in respect of investors in Indian capital markets to capital market intermediaries including mutual funds. It also offer other online services, such as e-voting, e-Locker, easi (electronic access to security information).</v>
    <v>221</v>
    <v>National Stock Exchange of India</v>
    <v>XNSE</v>
    <v>XNSE</v>
    <v>17th Floor, Phiroze Jeejeebhoy Towers, Dalal Street, MUMBAI, MAHARASHTRA, 400001 IN</v>
    <v>1570</v>
    <v>Investment Banking &amp; Investment Services</v>
    <v>Stock</v>
    <v>44571.406342592592</v>
    <v>355</v>
    <v>1535.05</v>
    <v>161980200000</v>
    <v>CENTRAL DEPOSITORY SERVICES (INDIA) LIMITED</v>
    <v>CENTRAL DEPOSITORY SERVICES (INDIA) LIMITED</v>
    <v>1570</v>
    <v>63.47</v>
    <v>1550.05</v>
    <v>1549.8</v>
    <v>104500000</v>
    <v>CDSL</v>
    <v>CENTRAL DEPOSITORY SERVICES (INDIA) LIMITED (XNSE:CDSL)</v>
    <v>377705</v>
    <v>1997</v>
  </rv>
  <rv s="2">
    <v>356</v>
  </rv>
  <rv s="0">
    <v>https://www.bing.com/financeapi/forcetrigger?t=bq37ec&amp;q=XNSE%3aNEOGEN&amp;form=skydnc</v>
    <v>Learn more on Bing</v>
  </rv>
  <rv s="8">
    <v>en-IN</v>
    <v>bq37ec</v>
    <v>268435456</v>
    <v>1</v>
    <v>Powered by Refinitiv</v>
    <v>15</v>
    <v>NEOGEN CHEMICALS LIMITED (XNSE:NEOGEN)</v>
    <v>2</v>
    <v>16</v>
    <v>Finance</v>
    <v>4</v>
    <v>1930</v>
    <v>681</v>
    <v>-1.3</v>
    <v>-6.9660000000000002E-4</v>
    <v>INR</v>
    <v>Neogen Chemicals Limited is an India-based manufacturer of inorganic chemicals company. The Company is focused on manufacturing bromine and lithium-based specialty chemicals. The Company’s Specialty chemicals product offers organic chemicals and inorganic chemicals. Organic chemicals are containing carbon in combination with hydrogen, and, or, other elements with a covalent. Its product offering in this segment comprises Bromine Compounds and other organic compounds containing chlorine, fluorine and iodine-based and combinations thereof. In addition, the Company manufactures niche products such as Grignard reagents and lithium salt. Inorganic chemicals are chemicals with an ionic bond. Its product offering in this segment primarily comprises lithium compounds.</v>
    <v>325</v>
    <v>National Stock Exchange of India</v>
    <v>XNSE</v>
    <v>XNSE</v>
    <v>1002, 10Th Floor, Dev Corpora Bldg,, off. Pokharan Road no.2, 400601 IN</v>
    <v>1910</v>
    <v>Chemicals</v>
    <v>Stock</v>
    <v>44571.406354166669</v>
    <v>358</v>
    <v>1838.35</v>
    <v>46544250000</v>
    <v>NEOGEN CHEMICALS LIMITED</v>
    <v>NEOGEN CHEMICALS LIMITED</v>
    <v>1887</v>
    <v>119.95</v>
    <v>1866.3</v>
    <v>1865</v>
    <v>24939320</v>
    <v>NEOGEN</v>
    <v>NEOGEN CHEMICALS LIMITED (XNSE:NEOGEN)</v>
    <v>77078</v>
    <v>1989</v>
  </rv>
  <rv s="2">
    <v>359</v>
  </rv>
  <rv s="0">
    <v>https://www.bing.com/financeapi/forcetrigger?t=ahinjc&amp;q=XNSE%3aKOTAKBANK&amp;form=skydnc</v>
    <v>Learn more on Bing</v>
  </rv>
  <rv s="1">
    <v>en-IN</v>
    <v>ahinjc</v>
    <v>268435456</v>
    <v>1</v>
    <v>Powered by Refinitiv</v>
    <v>0</v>
    <v>KOTAK MAHINDRA BANK LIMITED (XNSE:KOTAKBANK)</v>
    <v>2</v>
    <v>3</v>
    <v>Finance</v>
    <v>4</v>
    <v>2253</v>
    <v>1626</v>
    <v>0.98819999999999997</v>
    <v>44.65</v>
    <v>2.3448000000000004E-2</v>
    <v>INR</v>
    <v>Kotak Mahindra Bank Limited is a bank. The Bank's segments include Treasury, BMU and Corporate centre, which includes dealing in debt, equity, money market, forex market, derivatives and investments and primary dealership of Government securities and Balance Sheet Management unit (BMU); Retail Banking, which includes lending and credit cards; Corporate/Wholesale Banking, which includes wholesale borrowings and lending, and other related services; Vehicle Financing, which includes retail vehicle finance and wholesale trade finance; Other Lending Activities, which includes financing against securities and other loans; Broking, which is engaged in market transactions done on behalf of clients; Advisory and Transactional Services, which provide financial advisory and transactional services; Asset Management, which manages investments on behalf of clients and funds, and Insurance, which provides life insurance and general insurance.</v>
    <v>73000</v>
    <v>National Stock Exchange of India</v>
    <v>XNSE</v>
    <v>XNSE</v>
    <v>C-27 G Block, 27 BKC, Bandra Kurla Complex, Bandra(EAST), MUMBAI, MAHARASHTRA, 400051 IN</v>
    <v>1948.95</v>
    <v>Banking Services</v>
    <v>Stock</v>
    <v>44571.406377314815</v>
    <v>361</v>
    <v>1901.35</v>
    <v>3782342000000</v>
    <v>KOTAK MAHINDRA BANK LIMITED</v>
    <v>KOTAK MAHINDRA BANK LIMITED</v>
    <v>1904.25</v>
    <v>37.79</v>
    <v>1904.25</v>
    <v>1948.9</v>
    <v>2983900000</v>
    <v>KOTAKBANK</v>
    <v>KOTAK MAHINDRA BANK LIMITED (XNSE:KOTAKBANK)</v>
    <v>2583235</v>
    <v>1985</v>
  </rv>
  <rv s="2">
    <v>362</v>
  </rv>
  <rv s="0">
    <v>https://www.bing.com/financeapi/forcetrigger?t=ahhz1h&amp;q=XNSE%3aGREENLAM&amp;form=skydnc</v>
    <v>Learn more on Bing</v>
  </rv>
  <rv s="1">
    <v>en-IN</v>
    <v>ahhz1h</v>
    <v>268435456</v>
    <v>1</v>
    <v>Powered by Refinitiv</v>
    <v>0</v>
    <v>GREENLAM INDUSTRIES LIMITED (XNSE:GREENLAM)</v>
    <v>2</v>
    <v>3</v>
    <v>Finance</v>
    <v>4</v>
    <v>1997.4</v>
    <v>778.25</v>
    <v>1.3342000000000001</v>
    <v>33.049999999999997</v>
    <v>1.7665E-2</v>
    <v>INR</v>
    <v>Greenlam Industries Limited is a laminates manufacturing company. The Company is engaged in the business of manufacturing laminates, decorative veneers and allied products through its factories at various locations and branches and dealers' network spread all over the country. Its segments include Laminate &amp; Allied Products, and Veneer &amp; Allied Products. The Laminate &amp; Allied Products segment is engaged in the business of manufacturing of laminates, compact laminates and other allied products through its wholesale and retail network. The Veneer &amp; Allied Products segment is engaged in the business of manufacturing of decorative veneers, engineered wood flooring, engineered door sets and door leaf and other allied products through its wholesale and retail network. It imports raw materials for manufacturing. Its manufactured goods are sold both in domestic and overseas markets. It has two overseas subsidiaries, which are engaged in marketing and distribution of its products.</v>
    <v>1900</v>
    <v>National Stock Exchange of India</v>
    <v>XNSE</v>
    <v>XNSE</v>
    <v>2nd Floor, West Wing, Worldmark 1, Aerocity, IGI Airport Hospitality District, NEW DELHI, DELHI, 110037 IN</v>
    <v>1909</v>
    <v>Paper &amp; Forest Products</v>
    <v>Stock</v>
    <v>44571.406365740739</v>
    <v>364</v>
    <v>1861.05</v>
    <v>45157950000</v>
    <v>GREENLAM INDUSTRIES LIMITED</v>
    <v>GREENLAM INDUSTRIES LIMITED</v>
    <v>1898.75</v>
    <v>44.67</v>
    <v>1870.95</v>
    <v>1904</v>
    <v>24136370</v>
    <v>GREENLAM</v>
    <v>GREENLAM INDUSTRIES LIMITED (XNSE:GREENLAM)</v>
    <v>18120</v>
    <v>2013</v>
  </rv>
  <rv s="2">
    <v>365</v>
  </rv>
  <rv s="0">
    <v>https://www.bing.com/financeapi/forcetrigger?t=bvu652&amp;q=XNSE%3aROUTE&amp;form=skydnc</v>
    <v>Learn more on Bing</v>
  </rv>
  <rv s="8">
    <v>en-IN</v>
    <v>bvu652</v>
    <v>268435456</v>
    <v>1</v>
    <v>Powered by Refinitiv</v>
    <v>15</v>
    <v>Route Mobile Ltd (XNSE:ROUTE)</v>
    <v>2</v>
    <v>16</v>
    <v>Finance</v>
    <v>4</v>
    <v>2389</v>
    <v>1090</v>
    <v>40.9</v>
    <v>2.3079000000000002E-2</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1833</v>
    <v>Telecommunications Services</v>
    <v>Stock</v>
    <v>44571.406365740739</v>
    <v>367</v>
    <v>1778.35</v>
    <v>111420200000</v>
    <v>Route Mobile Ltd</v>
    <v>Route Mobile Ltd</v>
    <v>1786</v>
    <v>68.25</v>
    <v>1772.15</v>
    <v>1813.05</v>
    <v>62872880</v>
    <v>ROUTE</v>
    <v>Route Mobile Ltd (XNSE:ROUTE)</v>
    <v>155852</v>
    <v>2004</v>
  </rv>
  <rv s="2">
    <v>368</v>
  </rv>
  <rv s="0">
    <v>http://en.wikipedia.org/wiki/Tech_Mahindra</v>
    <v>Wikipedia</v>
  </rv>
  <rv s="5">
    <v>21</v>
    <v>370</v>
  </rv>
  <rv s="6">
    <v>14</v>
    <v>https://www.bing.com/th?id=AMMS_b5d17bfbdf220345db348494fcd4d650&amp;qlt=95</v>
    <v>371</v>
    <v>0</v>
    <v>https://www.bing.com/images/search?form=xlimg&amp;q=tech+mahindra</v>
    <v>Image of TECH MAHINDRA LIMITED</v>
  </rv>
  <rv s="0">
    <v>https://www.bing.com/financeapi/forcetrigger?t=ahkb6h&amp;q=XNSE%3aTECHM&amp;form=skydnc</v>
    <v>Learn more on Bing</v>
  </rv>
  <rv s="7">
    <v>en-IN</v>
    <v>ahkb6h</v>
    <v>268435456</v>
    <v>1</v>
    <v>Powered by Refinitiv</v>
    <v>10</v>
    <v>TECH MAHINDRA LIMITED (XNSE:TECHM)</v>
    <v>12</v>
    <v>13</v>
    <v>Finance</v>
    <v>4</v>
    <v>1838</v>
    <v>894.15</v>
    <v>0.67010000000000003</v>
    <v>12.2</v>
    <v>7.1599999999999997E-3</v>
    <v>INR</v>
    <v>Tech Mahindra Limited is engaged in the business of computer programming, consultancy and related services. The Company's segments include Information Technology (IT) Services and Business Processing Outsourcing (BPO). The Company operates in various sectors, including telecom business and enterprise solutions business. The telecom business provides consulting-led integrated portfolio services to customers, which are telecom equipment manufacturers, telecom service providers and IT infrastructure services, and BPO, as well as enterprise services (banking, financial services and insurance (BFSI), retail and logistics, and manufacturing, among others) of IT and IT-enabled services delivered through a network of various locations around the world. The enterprise solutions business provides IT services, including IT enabled services, application development and maintenance, consulting and enterprise business solutions, extended engineering solutions and infrastructure management services.</v>
    <v>141193</v>
    <v>National Stock Exchange of India</v>
    <v>XNSE</v>
    <v>XNSE</v>
    <v>Sharda Centre, Off Karve Road,, Erandwana, Deccan Ghymkhana,, PUNE, MAHARASHTRA, 411004 IN</v>
    <v>1725</v>
    <v>372</v>
    <v>Software &amp; IT Services</v>
    <v>Stock</v>
    <v>44571.406365740739</v>
    <v>373</v>
    <v>1687.5</v>
    <v>1653639000000</v>
    <v>TECH MAHINDRA LIMITED</v>
    <v>TECH MAHINDRA LIMITED</v>
    <v>1719</v>
    <v>29.37</v>
    <v>1703.85</v>
    <v>1716.05</v>
    <v>970530600</v>
    <v>TECHM</v>
    <v>TECH MAHINDRA LIMITED (XNSE:TECHM)</v>
    <v>2143214</v>
    <v>1986</v>
  </rv>
  <rv s="2">
    <v>374</v>
  </rv>
  <rv s="0">
    <v>https://www.bing.com/financeapi/forcetrigger?t=bptwfr&amp;q=XNSE%3aDALBHARAT&amp;form=skydnc</v>
    <v>Learn more on Bing</v>
  </rv>
  <rv s="9">
    <v>en-IN</v>
    <v>bptwfr</v>
    <v>268435456</v>
    <v>1</v>
    <v>Powered by Refinitiv</v>
    <v>17</v>
    <v>DALMIA BHARAT LIMITED (XNSE:DALBHARAT)</v>
    <v>2</v>
    <v>18</v>
    <v>Finance</v>
    <v>4</v>
    <v>2548.4</v>
    <v>1081</v>
    <v>64.099999999999994</v>
    <v>3.3189000000000003E-2</v>
    <v>INR</v>
    <v>Dalmia Bharat Limited, formerly Odisha Cement Limited, is an India-based cement manufacturing company. The Company's segments include Cement, Refractory and Power. The Company’s products include Portland Slag Cement (PSC), Portland Pozzolana Cement (PPC) and Portland Composite Cement (PCC). The Company’s brands include Dalmia DSP, the wellestablished Dalmia Cement, Dalmia Ultra, Dalmia Infra Green Cement and Konark brands.</v>
    <v>National Stock Exchange of India</v>
    <v>XNSE</v>
    <v>XNSE</v>
    <v>11th &amp; 12th Floors,, Hansalaya Building,, 15, Barakhamba Road,, NEW DELHI, DELHI, 110001 IN</v>
    <v>1997.95</v>
    <v>Construction Materials</v>
    <v>Stock</v>
    <v>44571.406342592592</v>
    <v>376</v>
    <v>1935.65</v>
    <v>361411000000</v>
    <v>DALMIA BHARAT LIMITED</v>
    <v>DALMIA BHARAT LIMITED</v>
    <v>1955</v>
    <v>28.15</v>
    <v>1931.35</v>
    <v>1995.45</v>
    <v>187128700</v>
    <v>DALBHARAT</v>
    <v>DALMIA BHARAT LIMITED (XNSE:DALBHARAT)</v>
    <v>279502</v>
    <v>2013</v>
  </rv>
  <rv s="2">
    <v>377</v>
  </rv>
  <rv s="0">
    <v>https://www.bing.com/financeapi/forcetrigger?t=ahhxbh&amp;q=XNSE%3aGODREJPROP&amp;form=skydnc</v>
    <v>Learn more on Bing</v>
  </rv>
  <rv s="1">
    <v>en-IN</v>
    <v>ahhxbh</v>
    <v>268435456</v>
    <v>1</v>
    <v>Powered by Refinitiv</v>
    <v>0</v>
    <v>GODREJ PROPERTIES LIMITED (XNSE:GODREJPROP)</v>
    <v>2</v>
    <v>3</v>
    <v>Finance</v>
    <v>4</v>
    <v>2598</v>
    <v>1200</v>
    <v>1.3833</v>
    <v>29.4</v>
    <v>1.5543E-2</v>
    <v>INR</v>
    <v>Godrej Properties Limited is an India-based real estate company. The Company is engaged primarily in the business of real estate construction, development and other related activities. The Company focuses on developing residential and commercial projects. It operates in approximately 12 domestic locations. The Company operates in India across cities such as Mumbai, Pune, Kolkata, Nagpur, Chennai, National Capital Region (NCR), Bangalore, Ahmedabad, Mangalore and Chandigarh.</v>
    <v>1933</v>
    <v>National Stock Exchange of India</v>
    <v>XNSE</v>
    <v>XNSE</v>
    <v>Godrej Bhavan, 4th Floor,, 4A, Home Street, Fort,, MUMBAI, MAHARASHTRA, 400001 IN</v>
    <v>1947</v>
    <v>Real Estate Operations</v>
    <v>Stock</v>
    <v>44571.406354166669</v>
    <v>379</v>
    <v>1901.8</v>
    <v>525813500000</v>
    <v>GODREJ PROPERTIES LIMITED</v>
    <v>GODREJ PROPERTIES LIMITED</v>
    <v>1901.8</v>
    <v>0</v>
    <v>1891.5</v>
    <v>1920.9</v>
    <v>277987600</v>
    <v>GODREJPROP</v>
    <v>GODREJ PROPERTIES LIMITED (XNSE:GODREJPROP)</v>
    <v>522015</v>
    <v>1985</v>
  </rv>
  <rv s="2">
    <v>380</v>
  </rv>
  <rv s="0">
    <v>https://www.bing.com/financeapi/forcetrigger?t=ahirxm&amp;q=XNSE%3aLT&amp;form=skydnc</v>
    <v>Learn more on Bing</v>
  </rv>
  <rv s="1">
    <v>en-IN</v>
    <v>ahirxm</v>
    <v>268435456</v>
    <v>1</v>
    <v>Powered by Refinitiv</v>
    <v>0</v>
    <v>LARSEN AND TOUBRO LIMITED (XNSE:LT)</v>
    <v>2</v>
    <v>3</v>
    <v>Finance</v>
    <v>4</v>
    <v>1981.75</v>
    <v>1295.05</v>
    <v>1.1366000000000001</v>
    <v>49</v>
    <v>2.5722999999999999E-2</v>
    <v>INR</v>
    <v>Larsen &amp; Toubro Limited is engaged in engineering, procurement and construction (EPC) projects services. It provides solar photo voltaic (PV) based power plants helping customers save on the energy bills and contribute to reduction of Greenhouse gas (GHG) emissions from consumption of indirect energy. Its segments include Infrastructure, which is engaged in engineering and construction of building and factories, transportation infrastructure and heavy civil infrastructure; Power, which offers solutions for coal-based and gas-based thermal power plants; Heavy Engineering, which manufactures and supplies custom designed, engineered critical equipment and systems; Defense Engineering, which is engaged in designing, development, serial production and supporting of equipment, systems and platforms of defense and aerospace sectors, and Other segment includes communication projects , marketing and servicing of construction and mining machinery and parts.</v>
    <v>40253</v>
    <v>National Stock Exchange of India</v>
    <v>XNSE</v>
    <v>XNSE</v>
    <v>L&amp;T House, Ballard Estate, P. O. Box: 278,, MUMBAI, MAHARASHTRA, 400001 IN</v>
    <v>1959.95</v>
    <v>Construction &amp; Engineering</v>
    <v>Stock</v>
    <v>44571.406365740739</v>
    <v>382</v>
    <v>1907.25</v>
    <v>2676146000000</v>
    <v>LARSEN AND TOUBRO LIMITED</v>
    <v>LARSEN AND TOUBRO LIMITED</v>
    <v>1910</v>
    <v>30.86</v>
    <v>1904.9</v>
    <v>1953.9</v>
    <v>1404875000</v>
    <v>LT</v>
    <v>LARSEN AND TOUBRO LIMITED (XNSE:LT)</v>
    <v>2187015</v>
    <v>1946</v>
  </rv>
  <rv s="2">
    <v>383</v>
  </rv>
  <rv s="0">
    <v>http://en.wikipedia.org/wiki/Infosys</v>
    <v>Wikipedia</v>
  </rv>
  <rv s="5">
    <v>21</v>
    <v>385</v>
  </rv>
  <rv s="6">
    <v>14</v>
    <v>https://www.bing.com/th?id=AMMS_b5caa81950e75d64490fd060984642b9&amp;qlt=95</v>
    <v>386</v>
    <v>0</v>
    <v>https://www.bing.com/images/search?form=xlimg&amp;q=infosys</v>
    <v>Image of INFOSYS LIMITED</v>
  </rv>
  <rv s="0">
    <v>https://www.bing.com/financeapi/forcetrigger?t=ahicim&amp;q=XNSE%3aINFY&amp;form=skydnc</v>
    <v>Learn more on Bing</v>
  </rv>
  <rv s="7">
    <v>en-IN</v>
    <v>ahicim</v>
    <v>268435456</v>
    <v>1</v>
    <v>Powered by Refinitiv</v>
    <v>10</v>
    <v>INFOSYS LIMITED (XNSE:INFY)</v>
    <v>12</v>
    <v>13</v>
    <v>Finance</v>
    <v>4</v>
    <v>1914.05</v>
    <v>1231</v>
    <v>0.61619999999999997</v>
    <v>37.049999999999997</v>
    <v>2.0421000000000002E-2</v>
    <v>INR</v>
    <v>Infosys Limited is engaged in consulting, technology, outsourcing and next-generation services. The Company, along with its subsidiaries, provides business information technology services comprising application development and maintenance, independent validation, infrastructure management, engineering services comprising product engineering and life cycle solutions and business process management; consulting and systems integration services comprising consulting, enterprise solutions, systems integration and advanced technologies; products, business platforms and solutions to accelerate intellectual property-led innovation, including Finacle, its banking solution, and offerings in the areas of Analytics, Cloud and Digital Transformation. Its segments are Financial Services and Insurance (FSI), Manufacturing and Hi-tech (MFG &amp; Hi-TECH), Energy &amp; utilities, Communication and Services (ECS), Retail, Consumer packaged goods and Logistics (RCL), and Life Sciences and Healthcare (LSH).</v>
    <v>279617</v>
    <v>National Stock Exchange of India</v>
    <v>XNSE</v>
    <v>XNSE</v>
    <v>Electronics City Hosur Rd, BANGALORE, KARNATAKA, 560100 IN</v>
    <v>1869.9</v>
    <v>387</v>
    <v>Software &amp; IT Services</v>
    <v>Stock</v>
    <v>44571.406319444446</v>
    <v>388</v>
    <v>1813</v>
    <v>7603328000000</v>
    <v>INFOSYS LIMITED</v>
    <v>INFOSYS LIMITED</v>
    <v>1815</v>
    <v>36.78</v>
    <v>1814.3</v>
    <v>1851.35</v>
    <v>4190777000</v>
    <v>INFY</v>
    <v>INFOSYS LIMITED (XNSE:INFY)</v>
    <v>7439942</v>
    <v>1981</v>
  </rv>
  <rv s="2">
    <v>389</v>
  </rv>
  <rv s="0">
    <v>https://www.bing.com/financeapi/forcetrigger?t=bsh8p2&amp;q=XNSE%3aFLUOROCHEM&amp;form=skydnc</v>
    <v>Learn more on Bing</v>
  </rv>
  <rv s="8">
    <v>en-IN</v>
    <v>bsh8p2</v>
    <v>268435456</v>
    <v>1</v>
    <v>Powered by Refinitiv</v>
    <v>15</v>
    <v>GUJARAT FLUOROCHEMICALS LIMITED (XNSE:FLUOROCHEM)</v>
    <v>2</v>
    <v>16</v>
    <v>Finance</v>
    <v>4</v>
    <v>2782</v>
    <v>525.1</v>
    <v>14.15</v>
    <v>5.1830000000000001E-3</v>
    <v>INR</v>
    <v>Gujarat Fluorochemicals Ltd, formerly Inox Fluorochemicals Ltd, is an India-based company engaged in manufacturing fluoropolymers resin and refrigerants. The Company’s products include fluoropolymers, fluoroelastomer, fluoroadditives, fluorospeciality chemicals, refrigerants and chemicals. It offers polytetrafluoroethylene (PTFE) resins under the brand name INOFLON. Its fluoropolymers products include granular PTFE, fine powder PTFE and aqueous dispersion PTFE. It manufactures and exports chloro-fluorocarbon refrigerant gases, R-12 and R-22. Its chemical products include caustic soda lye, caustic soda flakes, methylene chloride, hydrogen gas, anhydrous hydrogen chloride (AHCL), hydrochloric acid (HCL) and sulfuric acid. The Company’s subsidiaries include Gujarat Fluorochemicals Americas LLC and Gujarat Fluorochemicals GmbH.</v>
    <v>2220</v>
    <v>National Stock Exchange of India</v>
    <v>XNSE</v>
    <v>XNSE</v>
    <v>INOX Towers, Plot No. 17, Sector 16-A, NOIDA, UTTAR PRADESH, 201301 IN</v>
    <v>2782</v>
    <v>Chemicals</v>
    <v>Stock</v>
    <v>44571.406377314815</v>
    <v>391</v>
    <v>2694.35</v>
    <v>299907000000</v>
    <v>GUJARAT FLUOROCHEMICALS LIMITED</v>
    <v>GUJARAT FLUOROCHEMICALS LIMITED</v>
    <v>2760</v>
    <v>0</v>
    <v>2730.15</v>
    <v>2744.3</v>
    <v>109850000</v>
    <v>FLUOROCHEM</v>
    <v>GUJARAT FLUOROCHEMICALS LIMITED (XNSE:FLUOROCHEM)</v>
    <v>106307</v>
    <v>2018</v>
  </rv>
  <rv s="2">
    <v>392</v>
  </rv>
  <rv s="0">
    <v>https://www.bing.com/financeapi/forcetrigger?t=ahi62w&amp;q=XNSE%3aHINDUNILVR&amp;form=skydnc</v>
    <v>Learn more on Bing</v>
  </rv>
  <rv s="1">
    <v>en-IN</v>
    <v>ahi62w</v>
    <v>268435456</v>
    <v>1</v>
    <v>Powered by Refinitiv</v>
    <v>0</v>
    <v>HINDUSTAN UNILEVER LIMITED (XNSE:HINDUNILVR)</v>
    <v>2</v>
    <v>3</v>
    <v>Finance</v>
    <v>4</v>
    <v>2859.3</v>
    <v>2120</v>
    <v>0.24859999999999999</v>
    <v>-9.1</v>
    <v>-3.7659999999999998E-3</v>
    <v>INR</v>
    <v>Hindustan Unilever Limited is an India-based consumer goods company. The Company’s consumer goods business comprises of home and personal care, foods and refreshments. Its segments are Home care, which includes detergent bars, detergent powders, detergent liquids, scourers and water business; Beauty &amp; Personal Care, which includes products in the categories of oral care, skin care , hair care, deodorants, talcum powder, color cosmetics and salon services; Foods &amp; Refreshment, which includes staples , culinary products, tea, coffee and frozen desserts, and Others, which includes exports and infant care products. The Company also provides health food drinks such as Horlicks, Boost, Maltova and Viva.</v>
    <v>21000</v>
    <v>National Stock Exchange of India</v>
    <v>XNSE</v>
    <v>XNSE</v>
    <v>Unilever House,, Secretarial Dept, Building 1, Level 3 (B1L3),, B D Sawant Marg, Chakala,, MUMBAI, MAHARASHTRA, 400099 IN</v>
    <v>2425</v>
    <v>Personal &amp; Household Products &amp; Services</v>
    <v>Stock</v>
    <v>44571.406342592592</v>
    <v>394</v>
    <v>2402</v>
    <v>5676965000000</v>
    <v>HINDUSTAN UNILEVER LIMITED</v>
    <v>HINDUSTAN UNILEVER LIMITED</v>
    <v>2425</v>
    <v>67.599999999999994</v>
    <v>2416.15</v>
    <v>2407.0500000000002</v>
    <v>2349591000</v>
    <v>HINDUNILVR</v>
    <v>HINDUSTAN UNILEVER LIMITED (XNSE:HINDUNILVR)</v>
    <v>808962</v>
    <v>1933</v>
  </rv>
  <rv s="2">
    <v>395</v>
  </rv>
  <rv s="0">
    <v>https://creativecommons.org/licenses/by/3.0</v>
    <v>CC BY 3.0</v>
  </rv>
  <rv s="0">
    <v>http://ko.wikipedia.org/wiki/릴라이언스_인더스트리</v>
    <v>Wikipedia</v>
  </rv>
  <rv s="5">
    <v>397</v>
    <v>398</v>
  </rv>
  <rv s="6">
    <v>14</v>
    <v>https://www.bing.com/th?id=AMMS_991c98a722f3ecd67e311cc6cb82310e&amp;qlt=95</v>
    <v>399</v>
    <v>0</v>
    <v>https://www.bing.com/images/search?form=xlimg&amp;q=reliance+industries</v>
    <v>Image of RELIANCE INDUSTRIES LIMITED</v>
  </rv>
  <rv s="0">
    <v>https://www.bing.com/financeapi/forcetrigger?t=ahjo52&amp;q=XNSE%3aRELIANCE&amp;form=skydnc</v>
    <v>Learn more on Bing</v>
  </rv>
  <rv s="7">
    <v>en-IN</v>
    <v>ahjo52</v>
    <v>268435456</v>
    <v>1</v>
    <v>Powered by Refinitiv</v>
    <v>10</v>
    <v>RELIANCE INDUSTRIES LIMITED (XNSE:RELIANCE)</v>
    <v>12</v>
    <v>13</v>
    <v>Finance</v>
    <v>4</v>
    <v>2751.35</v>
    <v>1830</v>
    <v>1.1616</v>
    <v>2.7</v>
    <v>1.108E-3</v>
    <v>INR</v>
    <v>Reliance Industries Limited is an India-based company, which operates in the Refining, Petrochemicals, Oil and Gas, Organised Retail, Digital Services and Financial Services segments. The Refining segment includes production and marketing operations of the petroleum products. The Petrochemicals segment includes production and marketing operations of petrochemical products. The Oil and Gas segment includes exploration, development and production of crude oil and natural gas. The Organised Retail segment includes organized retail business in India. The Digital Services segment includes provision of a range of digital services in India and investment in telecom infrastructure business. The Financial Services segment comprises of management and deployment of identified resources of the Company to various activities including non-banking financial services and insurance broking. The Others segment includes textile, special economic zone (SEZ) development and media.</v>
    <v>236334</v>
    <v>National Stock Exchange of India</v>
    <v>XNSE</v>
    <v>XNSE</v>
    <v>Maker Chambers IV, 3rd Floor, 222, Nariman Point, MUMBAI, MAHARASHTRA, 400021 IN</v>
    <v>2457</v>
    <v>400</v>
    <v>Oil &amp; Gas</v>
    <v>Stock</v>
    <v>44571.406377314815</v>
    <v>401</v>
    <v>2416.0500000000002</v>
    <v>16243090000000</v>
    <v>RELIANCE INDUSTRIES LIMITED</v>
    <v>RELIANCE INDUSTRIES LIMITED</v>
    <v>2452</v>
    <v>30.41</v>
    <v>2436</v>
    <v>2438.6999999999998</v>
    <v>6765994000</v>
    <v>RELIANCE</v>
    <v>RELIANCE INDUSTRIES LIMITED (XNSE:RELIANCE)</v>
    <v>3887865</v>
    <v>1973</v>
  </rv>
  <rv s="2">
    <v>402</v>
  </rv>
  <rv s="0">
    <v>https://www.bing.com/financeapi/forcetrigger?t=ahk1p2&amp;q=XNSE%3aSOLARINDS&amp;form=skydnc</v>
    <v>Learn more on Bing</v>
  </rv>
  <rv s="1">
    <v>en-IN</v>
    <v>ahk1p2</v>
    <v>268435456</v>
    <v>1</v>
    <v>Powered by Refinitiv</v>
    <v>0</v>
    <v>Solar Industries India Limited (XNSE:SOLARINDS)</v>
    <v>2</v>
    <v>3</v>
    <v>Finance</v>
    <v>4</v>
    <v>2938</v>
    <v>1089.5</v>
    <v>0.66539999999999999</v>
    <v>-9.6</v>
    <v>-4.091E-3</v>
    <v>INR</v>
    <v>Solar Industries India Limited is an explosives manufacturing company. The Company manufactures, supplies and exports industrial explosives and initiating systems. It manufactures various explosives products, such as Slurry and emulsion base explosives, bulk explosives, detonators, pentaerythritol tetranitrate (PETN) and accessories. The Company's products include Large Dia slurry Explosives, Small Dia Emulsion, Small Dia Slurry Explosives, Solar Detonators, Supreme Detonators, Supreme Electric Detonators, Economic Sod, Eco Det, Cord Relay, Cast Booster and Detonating Fuse. Its products are used across mining and infrastructure sectors. It also offers high melting explosive (HMX) and HMX Compounded products to the defense sector. The Company has 25 manufacturing plants eight states in India and three in overseas locations. The Company offers its products to 42 countries across the globe. The Company has manufacturing facilities at Zambia, Nigeria and Turkey.</v>
    <v>1629</v>
    <v>National Stock Exchange of India</v>
    <v>XNSE</v>
    <v>XNSE</v>
    <v>"Solar" House 14, Kachimet,, Amravati Road Nagpur, NAGPUR, MAHARASHTRA, 440023 IN</v>
    <v>2357.9</v>
    <v>Chemicals</v>
    <v>Stock</v>
    <v>44571.406377314815</v>
    <v>404</v>
    <v>2302.0500000000002</v>
    <v>212371100000</v>
    <v>Solar Industries India Limited</v>
    <v>Solar Industries India Limited</v>
    <v>2347</v>
    <v>62.4</v>
    <v>2346.9</v>
    <v>2337.3000000000002</v>
    <v>90490050</v>
    <v>SOLARINDS</v>
    <v>Solar Industries India Limited (XNSE:SOLARINDS)</v>
    <v>43306</v>
    <v>1995</v>
  </rv>
  <rv s="2">
    <v>405</v>
  </rv>
  <rv s="0">
    <v>https://www.bing.com/financeapi/forcetrigger?t=ahk3nm&amp;q=XNSE%3aSRF&amp;form=skydnc</v>
    <v>Learn more on Bing</v>
  </rv>
  <rv s="1">
    <v>en-IN</v>
    <v>ahk3nm</v>
    <v>268435456</v>
    <v>1</v>
    <v>Powered by Refinitiv</v>
    <v>0</v>
    <v>SRF LIMITED (XNSE:SRF)</v>
    <v>2</v>
    <v>3</v>
    <v>Finance</v>
    <v>4</v>
    <v>2550.8000000000002</v>
    <v>1026.21</v>
    <v>1.0488999999999999</v>
    <v>26.05</v>
    <v>1.0399E-2</v>
    <v>INR</v>
    <v>SRF Limited is an India-based holding company. The Company is engaged in manufacturing of chemicals and polymers, technical textiles and packaging films. Its segments include Technical Textiles Business (TTB), which includes nylon tire cord fabric, belting fabric, coated fabric, polyester tire cord fabric and industrial yarns and its research and development; Chemicals and Polymers Business (CPB), which includes refrigerant gases, pharmaceuticals and allied products, engineering plastics business and its research and development, and Packaging Films Business (PFB), which includes polyester films. Its chemicals and polymers plants are located at Alwar, Rajasthan; Udham Singh Nagar; Uttarakhand, and Bharuch, Gujarat. Its technical textiles plants are located at Chennai, Tamil Nadu; Bhind, Madhya Pradesh; Thiruvallur, Tamil Nadu; Pudukottai, Tamil Nadu, and Udham SinghNagar, Uttarakhand. Its packaging films plants are located at Udham SinghNagar, Uttarakhand and Indore, Madhya Pradesh.</v>
    <v>6386</v>
    <v>National Stock Exchange of India</v>
    <v>XNSE</v>
    <v>XNSE</v>
    <v>Block-C, Sector - 45, GURGAON, HARYANA, 122003 IN</v>
    <v>2550.8000000000002</v>
    <v>Chemicals</v>
    <v>Stock</v>
    <v>44571.406331018516</v>
    <v>407</v>
    <v>2485.6999999999998</v>
    <v>742519900000</v>
    <v>SRF LIMITED</v>
    <v>SRF LIMITED</v>
    <v>2520</v>
    <v>24.61</v>
    <v>2504.9499999999998</v>
    <v>2531</v>
    <v>296421000</v>
    <v>SRF</v>
    <v>SRF LIMITED (XNSE:SRF)</v>
    <v>757829</v>
    <v>1970</v>
  </rv>
  <rv s="2">
    <v>408</v>
  </rv>
  <rv s="0">
    <v>http://es.wikipedia.org/wiki/Hero_MotoCorp</v>
    <v>Wikipedia</v>
  </rv>
  <rv s="5">
    <v>21</v>
    <v>410</v>
  </rv>
  <rv s="6">
    <v>14</v>
    <v>https://www.bing.com/th?id=AMMS_e72d1aced580d623d3334410eb4db4ca&amp;qlt=95</v>
    <v>411</v>
    <v>0</v>
    <v>https://www.bing.com/images/search?form=xlimg&amp;q=hero+motocorp</v>
    <v>Image of Hero MotoCorp Limited</v>
  </rv>
  <rv s="0">
    <v>https://www.bing.com/financeapi/forcetrigger?t=ahi4cw&amp;q=XNSE%3aHEROMOTOCO&amp;form=skydnc</v>
    <v>Learn more on Bing</v>
  </rv>
  <rv s="7">
    <v>en-IN</v>
    <v>ahi4cw</v>
    <v>268435456</v>
    <v>1</v>
    <v>Powered by Refinitiv</v>
    <v>10</v>
    <v>Hero MotoCorp Limited (XNSE:HEROMOTOCO)</v>
    <v>12</v>
    <v>13</v>
    <v>Finance</v>
    <v>4</v>
    <v>3616.27</v>
    <v>2310</v>
    <v>0.92720000000000002</v>
    <v>78.55</v>
    <v>3.1431000000000001E-2</v>
    <v>INR</v>
    <v>Hero MotoCorp Limited is a two-wheeler manufacturer. The Company manufactures and sells motorized two wheelers up to 350 cubic centimeters (cc) engine capacity, spare parts and related services. Its products include Karizma ZMR, Karizma, Xtreme Sports, Xtreme, Hunk, Impulse, Achiever, Ignitor, Glamour Programmed FI, Glamour, Super Splendor, Passion XPRO, iSmart 110, Passion PRO, Passion PRO TR, Splendor iSmart, Splendor PRO Classic, Splendor PRO, Splendor+, HF Deluxe ECO, HF Deluxe, HF Dawn, Duet, Maestro Edge, Maestro and Pleasure. It offers over 20 products comprising 100 cubic centimeters (CC), 110CC, 125CC, 150CC, 225CC and scooter category. Its manufacturing plants are located in Dharuhera, Haryana; Gurgaon, Haryana; Haridwar, Uttarakhand; Neemrana, Rajasthan, and Villa Rica, Colombia. Its research and development center is located in Jaipur, Rajasthan. It has a Global Parts Centre for manufacturing and supplying the parts at local and global markets at Neemrana, Rajasthan.</v>
    <v>8793</v>
    <v>National Stock Exchange of India</v>
    <v>XNSE</v>
    <v>XNSE</v>
    <v>34, Community Centre, Basant Lok, Vasant Vihar, NEW DELHI, DELHI, 110057 IN</v>
    <v>2579.9</v>
    <v>412</v>
    <v>Automobiles &amp; Auto Parts</v>
    <v>Stock</v>
    <v>44571.406342592592</v>
    <v>413</v>
    <v>2489.3000000000002</v>
    <v>499333300000</v>
    <v>Hero MotoCorp Limited</v>
    <v>Hero MotoCorp Limited</v>
    <v>2489.3000000000002</v>
    <v>17.2</v>
    <v>2499.1</v>
    <v>2577.65</v>
    <v>199805200</v>
    <v>HEROMOTOCO</v>
    <v>Hero MotoCorp Limited (XNSE:HEROMOTOCO)</v>
    <v>715188</v>
    <v>1984</v>
  </rv>
  <rv s="2">
    <v>414</v>
  </rv>
  <rv s="0">
    <v>https://www.bing.com/financeapi/forcetrigger?t=ahkdxm&amp;q=XNSE%3aTITAN&amp;form=skydnc</v>
    <v>Learn more on Bing</v>
  </rv>
  <rv s="1">
    <v>en-IN</v>
    <v>ahkdxm</v>
    <v>268435456</v>
    <v>1</v>
    <v>Powered by Refinitiv</v>
    <v>0</v>
    <v>TITAN COMPANY LIMITED (XNSE:TITAN)</v>
    <v>2</v>
    <v>3</v>
    <v>Finance</v>
    <v>4</v>
    <v>2687.25</v>
    <v>1396</v>
    <v>0.89059999999999995</v>
    <v>84.75</v>
    <v>3.2941999999999999E-2</v>
    <v>INR</v>
    <v>Titan Company Limited is engaged in offering watches, jewelry and others. The Company's segments include Watches, Jewellery, Eyewear and Others. The Company offers plain and studded gold jewelry brands, such as Tanishq, GoldPlus, Zoya, Mia, which are retailed through Tanishq, GoldPlus, Zoya &amp; Mia stores. The Company offers watches and accessories, such as bags, sunglasses in brands, including Titan, Sonata, Fastrack and sub brands, such as Raga, Xylys and Edge, among others. The Company's watches and accessories are retailed through World of Titan, Helios and Fastrack stores. The Company offers frames, contact lenses, and Sunglasses in brands, such as Eye+. The Company's eyewear brands are retailed through Titan Eye Plus stores. It also offers precision engineering component and sub-assemblies (PECSA) and machine building and automation (MBA) solutions. The Company's subsidiaries include Titan TimeProducts Limited, Favre Leuba AG and Titan Engineering and Automation Limited.</v>
    <v>7235</v>
    <v>National Stock Exchange of India</v>
    <v>XNSE</v>
    <v>XNSE</v>
    <v>Integrity, Veerasandra, Electronics City P.O,, Off Hosur Main Road,, BANGALORE, KARNATAKA, 560100 IN</v>
    <v>2663.55</v>
    <v>Textiles &amp; Apparel</v>
    <v>Stock</v>
    <v>44571.406354166669</v>
    <v>416</v>
    <v>2571</v>
    <v>2284008000000</v>
    <v>TITAN COMPANY LIMITED</v>
    <v>TITAN COMPANY LIMITED</v>
    <v>2585</v>
    <v>130.72</v>
    <v>2572.6999999999998</v>
    <v>2657.45</v>
    <v>887786100</v>
    <v>TITAN</v>
    <v>TITAN COMPANY LIMITED (XNSE:TITAN)</v>
    <v>1765680</v>
    <v>1984</v>
  </rv>
  <rv s="2">
    <v>417</v>
  </rv>
  <rv s="0">
    <v>https://www.bing.com/financeapi/forcetrigger?t=ahi3gh&amp;q=XNSE%3aHDFC&amp;form=skydnc</v>
    <v>Learn more on Bing</v>
  </rv>
  <rv s="1">
    <v>en-IN</v>
    <v>ahi3gh</v>
    <v>268435456</v>
    <v>1</v>
    <v>Powered by Refinitiv</v>
    <v>0</v>
    <v>HOUSING DEVELOPMENT FINANCE CORPORATION LIMITED (XNSE:HDFC)</v>
    <v>2</v>
    <v>3</v>
    <v>Finance</v>
    <v>4</v>
    <v>3021.1</v>
    <v>2354</v>
    <v>1.1438999999999999</v>
    <v>64.3</v>
    <v>2.4761999999999999E-2</v>
    <v>INR</v>
    <v>Housing Development Finance Corporation Limited is an India-based holding company. The Company is engaged in financing by way of loans for the purchase or construction of residential houses, commercial real estate and certain other purposes, in India. The Company's segments include loans, life insurance, general insurance, asset management and others. It offers insurance products, such as motor, health, travel, home and personal accident in the retail division, and customized products, such as property, marine, aviation and liability insurance in the corporate division. It also provides portfolio management, mutual fund, property investment management, project management, investment consultancy and property related services. Its distribution network includes over 4,520 branches and approximately 12,000 automated teller machines in over 2,590 locations. Its subsidiaries include HDFC Investments Ltd., HDFC Trustee Co. Ltd. and HDFC Asset Management Co. Ltd., among others.</v>
    <v>3226</v>
    <v>National Stock Exchange of India</v>
    <v>XNSE</v>
    <v>XNSE</v>
    <v>HDFC House, H T Parekh Marg, 165-166,, Backbay Reclamation, Churchgate, MUMBAI, MAHARASHTRA, 400020 IN</v>
    <v>2665.05</v>
    <v>Banking Services</v>
    <v>Stock</v>
    <v>44571.406377314815</v>
    <v>419</v>
    <v>2601.9</v>
    <v>4702655000000</v>
    <v>HOUSING DEVELOPMENT FINANCE CORPORATION LIMITED</v>
    <v>HOUSING DEVELOPMENT FINANCE CORPORATION LIMITED</v>
    <v>2601.9</v>
    <v>22.39</v>
    <v>2596.6999999999998</v>
    <v>2661</v>
    <v>1811012000</v>
    <v>HDFC</v>
    <v>HOUSING DEVELOPMENT FINANCE CORPORATION LIMITED (XNSE:HDFC)</v>
    <v>5073505</v>
    <v>1977</v>
  </rv>
  <rv s="2">
    <v>420</v>
  </rv>
  <rv s="0">
    <v>https://www.bing.com/financeapi/forcetrigger?t=ahjfec&amp;q=XNSE%3aPIIND&amp;form=skydnc</v>
    <v>Learn more on Bing</v>
  </rv>
  <rv s="1">
    <v>en-IN</v>
    <v>ahjfec</v>
    <v>268435456</v>
    <v>1</v>
    <v>Powered by Refinitiv</v>
    <v>0</v>
    <v>PI INDUSTRIES LIMITED (XNSE:PIIND)</v>
    <v>2</v>
    <v>3</v>
    <v>Finance</v>
    <v>4</v>
    <v>3534.9</v>
    <v>1981</v>
    <v>0.87129999999999996</v>
    <v>-59.7</v>
    <v>-2.0243999999999998E-2</v>
    <v>INR</v>
    <v>PI Industries Limited is a holding company. The Company is engaged in the manufacturing and distribution of agro chemicals. Its geographical segments include Sales within India and Sales outside India. The Company manufactures agrochemicals, plant nutrients and plant protection, specialty fertilizers and hybrid seeds. It offers insecticides under various brands, including LEPIDO, DODGER, COLT, OSHEEN, COLFOS, FOSMITE, JUMBO, FORATOX, CARINA, MAXIMA and VIBRANT. The Company offers fungicides under brands, which include CUPRINA, LURIT, KITAZIN, SANIPEB, CLUTCH and LOGIK. It offers herbicides under the brands, including SOLARO, NOMINEE GOLD, INRO, BINGO, PIMIX, BUNKER and MELSA. Its specialty products include BIOVITA Granules and BIOVITA Liquid.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2949.05</v>
    <v>Chemicals</v>
    <v>Stock</v>
    <v>44571.406354166669</v>
    <v>422</v>
    <v>2881.15</v>
    <v>447197300000</v>
    <v>PI INDUSTRIES LIMITED</v>
    <v>PI INDUSTRIES LIMITED</v>
    <v>2949.05</v>
    <v>55.08</v>
    <v>2949.05</v>
    <v>2889.35</v>
    <v>151641100</v>
    <v>PIIND</v>
    <v>PI INDUSTRIES LIMITED (XNSE:PIIND)</v>
    <v>355757</v>
    <v>1946</v>
  </rv>
  <rv s="2">
    <v>423</v>
  </rv>
  <rv s="0">
    <v>https://www.bing.com/financeapi/forcetrigger?t=aysetc&amp;q=XNSE%3aAMBER&amp;form=skydnc</v>
    <v>Learn more on Bing</v>
  </rv>
  <rv s="1">
    <v>en-IN</v>
    <v>aysetc</v>
    <v>268435456</v>
    <v>1</v>
    <v>Powered by Refinitiv</v>
    <v>0</v>
    <v>AMBER ENTERPRISES INDIA LIMITED (XNSE:AMBER)</v>
    <v>2</v>
    <v>3</v>
    <v>Finance</v>
    <v>4</v>
    <v>3788.65</v>
    <v>2375.5500000000002</v>
    <v>0.50339999999999996</v>
    <v>61.85</v>
    <v>1.804E-2</v>
    <v>INR</v>
    <v>Amber Enterprises India Ltd., formerly Amber Enterprises (India) Pvt. Ltd, is an India-based original equipment manufacturer. The Company offers products, including air conditioners, microwave ovens, refrigerators, washing machines, heat exchangers, multi flow condensers, luminaries, plastic extrusion sheets, vacuum forming components, injection molding components, sheet metal stamping and auto parts. It manufactures heating, ventilation and air conditioning (HVAC) coils for air conditioners. It offers Fin &amp; Tube Type Heat Exchanger Coils. It produces tube bending fixtures, swage up or swage down toolings, capillary forming tools, spinning machines, deburring tools and brazing fixtures. It offers luminaries that are used various places, including offices, hospitals and clinics, schools and colleges, malls and shops. The Company's sheet metal components are used in various industries, including white goods, switchgears, automobiles and lighting.</v>
    <v>1397</v>
    <v>National Stock Exchange of India</v>
    <v>XNSE</v>
    <v>XNSE</v>
    <v>Universal Trade Tower, 1st Floor, Sector 49, Sohna Road, GURGAON, HARYANA, 122018 IN</v>
    <v>3568.95</v>
    <v>Computers, Phones &amp; Household Electronics</v>
    <v>Stock</v>
    <v>44571.406319444446</v>
    <v>425</v>
    <v>3386.3</v>
    <v>115519000000</v>
    <v>AMBER ENTERPRISES INDIA LIMITED</v>
    <v>AMBER ENTERPRISES INDIA LIMITED</v>
    <v>3464</v>
    <v>97.45</v>
    <v>3428.5</v>
    <v>3490.35</v>
    <v>33693730</v>
    <v>AMBER</v>
    <v>AMBER ENTERPRISES INDIA LIMITED (XNSE:AMBER)</v>
    <v>65754</v>
    <v>1990</v>
  </rv>
  <rv s="2">
    <v>426</v>
  </rv>
  <rv s="0">
    <v>https://www.bing.com/financeapi/forcetrigger?t=ahgucw&amp;q=XNSE%3aALKYLAMINE&amp;form=skydnc</v>
    <v>Learn more on Bing</v>
  </rv>
  <rv s="1">
    <v>en-IN</v>
    <v>ahgucw</v>
    <v>268435456</v>
    <v>1</v>
    <v>Powered by Refinitiv</v>
    <v>0</v>
    <v>ALKYL AMINES CHEMICALS LIMITED (XNSE:ALKYLAMINE)</v>
    <v>2</v>
    <v>3</v>
    <v>Finance</v>
    <v>4</v>
    <v>4749</v>
    <v>1552</v>
    <v>1.1615</v>
    <v>10.9</v>
    <v>2.9849999999999998E-3</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3699.45</v>
    <v>Chemicals</v>
    <v>Stock</v>
    <v>44571.406331018516</v>
    <v>428</v>
    <v>3620</v>
    <v>186465500000</v>
    <v>ALKYL AMINES CHEMICALS LIMITED</v>
    <v>ALKYL AMINES CHEMICALS LIMITED</v>
    <v>3681.4</v>
    <v>73.319999999999993</v>
    <v>3651</v>
    <v>3661.9</v>
    <v>51072450</v>
    <v>ALKYLAMINE</v>
    <v>ALKYL AMINES CHEMICALS LIMITED (XNSE:ALKYLAMINE)</v>
    <v>39217</v>
    <v>1979</v>
  </rv>
  <rv s="2">
    <v>429</v>
  </rv>
  <rv s="0">
    <v>https://www.bing.com/financeapi/forcetrigger?t=ahj23m&amp;q=XNSE%3aMPHASIS&amp;form=skydnc</v>
    <v>Learn more on Bing</v>
  </rv>
  <rv s="1">
    <v>en-IN</v>
    <v>ahj23m</v>
    <v>268435456</v>
    <v>1</v>
    <v>Powered by Refinitiv</v>
    <v>0</v>
    <v>MphasiS Limited (XNSE:MPHASIS)</v>
    <v>2</v>
    <v>3</v>
    <v>Finance</v>
    <v>4</v>
    <v>3659.75</v>
    <v>1491.43</v>
    <v>0.94</v>
    <v>-36.9</v>
    <v>-1.1388000000000001E-2</v>
    <v>INR</v>
    <v>Mphasis Limited is a information technology solution provider in cloud and cognitive services. The Company’s segments include Banking and Capital Market, Insurance, Information Technology, Communication and Entertainment and Emerging Industries. The geographical segments include United States of America, India, Asia Pacific and Europe, Middle East and Africa. It offers cloud computing, cognitive solutions, digital services, securing businesses, application services and infrastructure services. The Company serves various industries such as banking and capital market which includes, retail banking, credit cards and payments, wealth management and brokerage, corporate banking solutions and investment banking technology. Its insurance industry includes, property and casualty, life and retirement and health. Its other industries consist of communications, energy and utilities, healthcare, life science, logistics, manufacturing and travel and transportation.</v>
    <v>15110</v>
    <v>National Stock Exchange of India</v>
    <v>XNSE</v>
    <v>XNSE</v>
    <v>Bagmane Technology Park, Byrasandra, C V Raman Nagar, BANGALORE, KARNATAKA, 560095 IN</v>
    <v>3279</v>
    <v>Software &amp; IT Services</v>
    <v>Stock</v>
    <v>44571.406388888892</v>
    <v>431</v>
    <v>3180</v>
    <v>607438100000</v>
    <v>MphasiS Limited</v>
    <v>MphasiS Limited</v>
    <v>3250.05</v>
    <v>45.78</v>
    <v>3240.2</v>
    <v>3203.3</v>
    <v>187469300</v>
    <v>MPHASIS</v>
    <v>MphasiS Limited (XNSE:MPHASIS)</v>
    <v>727340</v>
    <v>1992</v>
  </rv>
  <rv s="2">
    <v>432</v>
  </rv>
  <rv s="0">
    <v>https://www.bing.com/financeapi/forcetrigger?t=ahgz6h&amp;q=XNSE%3aASIANPAINT&amp;form=skydnc</v>
    <v>Learn more on Bing</v>
  </rv>
  <rv s="1">
    <v>en-IN</v>
    <v>ahgz6h</v>
    <v>268435456</v>
    <v>1</v>
    <v>Powered by Refinitiv</v>
    <v>0</v>
    <v>ASIAN PAINTS LIMITED (XNSE:ASIANPAINT)</v>
    <v>2</v>
    <v>3</v>
    <v>Finance</v>
    <v>4</v>
    <v>3590</v>
    <v>2260</v>
    <v>0.54679999999999995</v>
    <v>-26.35</v>
    <v>-7.3680000000000004E-3</v>
    <v>INR</v>
    <v>Asian Paints Limited is a paint company. The Company is engaged in the business of manufacturing, selling and distribution of paints, coatings, products related to home decor, bath fittings and providing of related services. The Company's business segments are Paints and Home Improvement. The Home Improvement segment includes its bath fittings business. Its geographical segments are Domestic and International operations. The Domestic segment includes operations of the Company and its Indian subsidiaries, and joint ventures. It manufactures a range of paints for decorative and industrial use. Its products include special effects, plain finishes and distempers for interior walls; textures finishes, plain finishes and design for exteriors for exterior walls; wall papers; wood finishes; metal finishes; water proofing solutions; adhesives, and painting tools and implements. It operates in over 20 countries and has over 30 manufacturing facilities, servicing consumers in over 65 countries.</v>
    <v>7134</v>
    <v>National Stock Exchange of India</v>
    <v>XNSE</v>
    <v>XNSE</v>
    <v>Asian Paints House, 6A, Shantinagar, Santacruz (EAST), MUMBAI, MAHARASHTRA, 400055 IN</v>
    <v>3590</v>
    <v>Chemicals</v>
    <v>Stock</v>
    <v>44571.406319444446</v>
    <v>434</v>
    <v>3527</v>
    <v>3429581000000</v>
    <v>ASIAN PAINTS LIMITED</v>
    <v>ASIAN PAINTS LIMITED</v>
    <v>3580</v>
    <v>105.37</v>
    <v>3576.3</v>
    <v>3549.95</v>
    <v>958974500</v>
    <v>ASIANPAINT</v>
    <v>ASIAN PAINTS LIMITED (XNSE:ASIANPAINT)</v>
    <v>598707</v>
    <v>1945</v>
  </rv>
  <rv s="2">
    <v>435</v>
  </rv>
  <rv s="0">
    <v>https://www.bing.com/financeapi/forcetrigger?t=ahkau2&amp;q=XNSE%3aTCS&amp;form=skydnc</v>
    <v>Learn more on Bing</v>
  </rv>
  <rv s="1">
    <v>en-IN</v>
    <v>ahkau2</v>
    <v>268435456</v>
    <v>1</v>
    <v>Powered by Refinitiv</v>
    <v>0</v>
    <v>TATA CONSULTANCY SERVICES LIMITED (XNSE:TCS)</v>
    <v>2</v>
    <v>3</v>
    <v>Finance</v>
    <v>4</v>
    <v>3989.9</v>
    <v>2880</v>
    <v>0.63600000000000001</v>
    <v>28.45</v>
    <v>7.3829999999999998E-3</v>
    <v>INR</v>
    <v>Tata Consultancy Services Limited (TCS) is engaged in providing information technology (IT) services, digital and business solutions. The Company's segments include banking, finance and insurance services (BFSI); manufacturing; retail and consumer packaged goods (CPG); telecom, media and entertainment, and others, such as energy, resources and utilities, hi-tech, life science and healthcare, s-Governance, travel, transportation and hospitality, and other products. Its services portfolio consists of IT and assurance services, business intelligence and performance management, business process services, cloud services, connected marketing solutions, consulting, engineering and industrial services, enterprise solutions, IT infrastructure services, mobility products and services and platform solutions. Its software offerings include Digital Software and Solutions, TCS BaNCS and TCS MasterCraft, among others. It serves industries, including insurance, healthcare, retail, telecom and others.</v>
    <v>528748</v>
    <v>National Stock Exchange of India</v>
    <v>XNSE</v>
    <v>XNSE</v>
    <v>TCS House, Raveline Street,, Fort,, MUMBAI, MAHARASHTRA, 400001 IN</v>
    <v>3978</v>
    <v>Software &amp; IT Services</v>
    <v>Stock</v>
    <v>44571.406365740739</v>
    <v>437</v>
    <v>3861</v>
    <v>14254290000000</v>
    <v>TATA CONSULTANCY SERVICES LIMITED</v>
    <v>TATA CONSULTANCY SERVICES LIMITED</v>
    <v>3978</v>
    <v>39.11</v>
    <v>3853.5</v>
    <v>3881.95</v>
    <v>3699051000</v>
    <v>TCS</v>
    <v>TATA CONSULTANCY SERVICES LIMITED (XNSE:TCS)</v>
    <v>3699886</v>
    <v>1995</v>
  </rv>
  <rv s="2">
    <v>438</v>
  </rv>
  <rv s="0">
    <v>https://www.bing.com/financeapi/forcetrigger?t=ahj4rw&amp;q=XNSE%3aNAVINFLUOR&amp;form=skydnc</v>
    <v>Learn more on Bing</v>
  </rv>
  <rv s="1">
    <v>en-IN</v>
    <v>ahj4rw</v>
    <v>268435456</v>
    <v>1</v>
    <v>Powered by Refinitiv</v>
    <v>0</v>
    <v>NAVIN FLUORINE INTERNATIONAL LIMITED (XNSE:NAVINFLUOR)</v>
    <v>2</v>
    <v>3</v>
    <v>Finance</v>
    <v>4</v>
    <v>4329</v>
    <v>2217.4</v>
    <v>0.73260000000000003</v>
    <v>56.25</v>
    <v>1.4095E-2</v>
    <v>INR</v>
    <v>Navin Fluorine International Limited is engaged in the chemicals business. The Company focuses on fluorine chemistry, producing refrigeration gases, some basic building block fluorides and specialty organofluorines. Its business units include refrigerants, which manufactures refrigerant gases under the Mafron brand; inorganic fluorides, which offers a portfolio of products that have applications in industries, such as stainless steel, glass, oil and gas, abrasives, electronics, pharma and agro, and specialty chemicals, which is engaged in manufacturing of fluorine-based molecules for applications in pharmaceuticals, agrochemicals and petrochemicals industries. Its principal products include hydrofluoric acid and other fluorine chemicals, synthetic cryolite, aluminium fluoride and fluorocarbon gases. It offers contract research and manufacturing services for custom chemical synthesis of fluorinated compounds for the pharmaceuticals, agro chemicals and specialty chemicals industries.</v>
    <v>859</v>
    <v>National Stock Exchange of India</v>
    <v>XNSE</v>
    <v>XNSE</v>
    <v>2nd Floor, Sunteck Centre,, 37/40, Subhash Road,, Vile Parle (East),, MUMBAI, MAHARASHTRA, 400057 IN</v>
    <v>4117.8</v>
    <v>Chemicals</v>
    <v>Stock</v>
    <v>44571.406354166669</v>
    <v>440</v>
    <v>3981.2</v>
    <v>197719500000</v>
    <v>NAVIN FLUORINE INTERNATIONAL LIMITED</v>
    <v>NAVIN FLUORINE INTERNATIONAL LIMITED</v>
    <v>3991.7</v>
    <v>78.14</v>
    <v>3990.7</v>
    <v>4046.95</v>
    <v>49545070</v>
    <v>NAVINFLUOR</v>
    <v>NAVIN FLUORINE INTERNATIONAL LIMITED (XNSE:NAVINFLUOR)</v>
    <v>109470</v>
    <v>1998</v>
  </rv>
  <rv s="2">
    <v>441</v>
  </rv>
  <rv s="0">
    <v>https://www.bing.com/financeapi/forcetrigger?t=ahhktc&amp;q=XNSE%3aDMART&amp;form=skydnc</v>
    <v>Learn more on Bing</v>
  </rv>
  <rv s="1">
    <v>en-IN</v>
    <v>ahhktc</v>
    <v>268435456</v>
    <v>1</v>
    <v>Powered by Refinitiv</v>
    <v>0</v>
    <v>AVENUE SUPERMARTS LIMITED (XNSE:DMART)</v>
    <v>2</v>
    <v>3</v>
    <v>Finance</v>
    <v>4</v>
    <v>5900</v>
    <v>2610</v>
    <v>0.42099999999999999</v>
    <v>-94</v>
    <v>-1.9866999999999999E-2</v>
    <v>INR</v>
    <v>Avenue Supermarts Limited is an India-based company, which owns and operates DMart stores. DMart is a supermarket chain that offers customers a range of products with a focus on the foods, non-foods (FMCG) and general merchandise and apparel product categories.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operates approximately 246 stores and has presence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4784.8999999999996</v>
    <v>Food &amp; Drug Retailing</v>
    <v>Stock</v>
    <v>44571.406354166669</v>
    <v>443</v>
    <v>4622</v>
    <v>3064896000000</v>
    <v>AVENUE SUPERMARTS LIMITED</v>
    <v>AVENUE SUPERMARTS LIMITED</v>
    <v>4784.8999999999996</v>
    <v>223</v>
    <v>4731.3500000000004</v>
    <v>4637.3500000000004</v>
    <v>647784700</v>
    <v>DMART</v>
    <v>AVENUE SUPERMARTS LIMITED (XNSE:DMART)</v>
    <v>947795</v>
    <v>2000</v>
  </rv>
  <rv s="2">
    <v>444</v>
  </rv>
  <rv s="0">
    <v>https://www.bing.com/financeapi/forcetrigger?t=ahje9c&amp;q=XNSE%3aPERSISTENT&amp;form=skydnc</v>
    <v>Learn more on Bing</v>
  </rv>
  <rv s="1">
    <v>en-IN</v>
    <v>ahje9c</v>
    <v>268435456</v>
    <v>1</v>
    <v>Powered by Refinitiv</v>
    <v>0</v>
    <v>PERSISTENT SYSTEMS LIMITED (XNSE:PERSISTENT)</v>
    <v>2</v>
    <v>3</v>
    <v>Finance</v>
    <v>4</v>
    <v>4987.5</v>
    <v>1482.25</v>
    <v>0.77980000000000005</v>
    <v>-48.1</v>
    <v>-1.0583E-2</v>
    <v>INR</v>
    <v>Persistent Systems Limited is engaged in the business of building software products. The Company offers complete product life cycle services. The Company's segments include Infrastructure and Systems, Telecom and Wireless, Life science and Healthcare, and Financial Services. The Company's products include Connected Healthcare, which is an integrated healthcare ecosystem; ShareInsights Platform, which allows organizations to analyze an overlay of enterprise data with public or cloud sources to derive insights; Digital Banking, and Accelerite, which provides cloud solutions, endpoint management and mobility. The Company provides product engineering services, platform-based solutions and Internet protocol (IP)-based software products to its global customers. It has presence in North America, Europe and Rest of the World. Its subsidiaries include Persistent Systems France S.A.S., Persistent Systems Malaysia Sdn. Bhd. and Persistent Systems Pte. Ltd.</v>
    <v>11037</v>
    <v>National Stock Exchange of India</v>
    <v>XNSE</v>
    <v>XNSE</v>
    <v>402 E, Bhageerath, Senapati Bapat Road, Shivajinagar, PUNE, MAHARASHTRA, 411016 IN</v>
    <v>4596.6000000000004</v>
    <v>Software &amp; IT Services</v>
    <v>Stock</v>
    <v>44571.406342592592</v>
    <v>446</v>
    <v>4455</v>
    <v>347382000000</v>
    <v>PERSISTENT SYSTEMS LIMITED</v>
    <v>PERSISTENT SYSTEMS LIMITED</v>
    <v>4569</v>
    <v>60.76</v>
    <v>4545.1000000000004</v>
    <v>4497</v>
    <v>76430000</v>
    <v>PERSISTENT</v>
    <v>PERSISTENT SYSTEMS LIMITED (XNSE:PERSISTENT)</v>
    <v>326515</v>
    <v>1990</v>
  </rv>
  <rv s="2">
    <v>447</v>
  </rv>
  <rv s="0">
    <v>https://www.bing.com/financeapi/forcetrigger?t=ahhlpr&amp;q=XNSE%3aDRREDDY&amp;form=skydnc</v>
    <v>Learn more on Bing</v>
  </rv>
  <rv s="1">
    <v>en-IN</v>
    <v>ahhlpr</v>
    <v>268435456</v>
    <v>1</v>
    <v>Powered by Refinitiv</v>
    <v>0</v>
    <v>DR.REDDY'S LABORATORIES LTD (XNSE:DRREDDY)</v>
    <v>2</v>
    <v>3</v>
    <v>Finance</v>
    <v>4</v>
    <v>5614.6</v>
    <v>4135</v>
    <v>0.16009999999999999</v>
    <v>-11.15</v>
    <v>-2.3680000000000003E-3</v>
    <v>INR</v>
    <v>Dr. Reddy's Laboratories Limited is a pharmaceutical company that is engaged in providing medicines. The Company operates in three segments: Global Generics, Pharmaceutical Services and Active Ingredients (PSAI), and Proprietary Products. The Global Generics segment includes manufacturing and marketing prescription and over-the-counter finished pharmaceutical products ready for consumption by the patient, marketed under a brand name (branded formulations) or as generic finished dosages with therapeutic equivalence to branded formulations (generics). PSAI segment includes the Company's business of manufacturing and marketing active pharmaceutical ingredients and intermediates (API) or bulk drugs. Proprietary Products segment focuses on the research, development and manufacture of differentiated formulations and new chemical entities. These products fall within the dermatology and neurology therapeutic areas, and are marketed and sold through its subsidiary, Promius Pharma, LLC.</v>
    <v>22739</v>
    <v>National Stock Exchange of India</v>
    <v>XNSE</v>
    <v>XNSE</v>
    <v>8-2-337,, Road No.3 Banjara Hills, HYDERABAD, TELANGANA, 500034 IN</v>
    <v>4728.3999999999996</v>
    <v>Pharmaceuticals</v>
    <v>Stock</v>
    <v>44571.406365740739</v>
    <v>449</v>
    <v>4655.1499999999996</v>
    <v>781270100000</v>
    <v>DR.REDDY'S LABORATORIES LTD</v>
    <v>DR.REDDY'S LABORATORIES LTD</v>
    <v>4728.3999999999996</v>
    <v>39.81</v>
    <v>4708.3999999999996</v>
    <v>4697.25</v>
    <v>165931100</v>
    <v>DRREDDY</v>
    <v>DR.REDDY'S LABORATORIES LTD (XNSE:DRREDDY)</v>
    <v>288386</v>
    <v>1984</v>
  </rv>
  <rv s="2">
    <v>450</v>
  </rv>
  <rv s="0">
    <v>https://www.bing.com/financeapi/forcetrigger?t=ahjekr&amp;q=XNSE%3aPFIZER&amp;form=skydnc</v>
    <v>Learn more on Bing</v>
  </rv>
  <rv s="1">
    <v>en-IN</v>
    <v>ahjekr</v>
    <v>268435456</v>
    <v>1</v>
    <v>Powered by Refinitiv</v>
    <v>0</v>
    <v>PFIZER LIMITED (XNSE:PFIZER)</v>
    <v>2</v>
    <v>3</v>
    <v>Finance</v>
    <v>4</v>
    <v>6175</v>
    <v>4330</v>
    <v>0.4572</v>
    <v>-17.55</v>
    <v>-3.5470000000000002E-3</v>
    <v>INR</v>
    <v>Pfizer Limited is an India-based pharmaceutical company. The Company has a portfolio of approximately 140 products across over 15 therapeutic areas. The Company is engaged in manufacturing, marketing, trading and exporting pharmaceutical products. The Company offers a range of products for Anti-Allergic, Anti-Diabetic, Antihistamine, Anti-Infectives, Cardiovascular, Dermatology, Erectile Dysfunction, gastrointestinal (GI), Multivitamins, Pain/Inflammation+GI, Respiratory, Urology and Vitamin/Minerals, among others. Its products include LC-OD Plus, Bidiab, Voglibose, Histizer, Isokin, Jetex Suspension, Nebasulf Ointment, Trulimax, Combantrin A, Newsta, Selsun, Agarol, Oxileptin, Ponstan, Daxid, Tricorex, Citrosoda and Cognisules, among others. The Company has its own manufacturing facility at Thane and Goa. The Company has various independent contract/third party manufacturers based across the country. The Company sells its products through independent distributors primarily in India.</v>
    <v>2358</v>
    <v>National Stock Exchange of India</v>
    <v>XNSE</v>
    <v>XNSE</v>
    <v>The Capital, 1802,18th floor, Plot No.C-70, G Block, Bandra Kurla Complex, Bandra East, MUMBAI, MAHARASHTRA, 400051 IN</v>
    <v>4999.8</v>
    <v>Pharmaceuticals</v>
    <v>Stock</v>
    <v>44571.406388888892</v>
    <v>452</v>
    <v>4919.5</v>
    <v>226339200000</v>
    <v>PFIZER LIMITED</v>
    <v>PFIZER LIMITED</v>
    <v>4947</v>
    <v>38.72</v>
    <v>4947.55</v>
    <v>4930</v>
    <v>45747730</v>
    <v>PFIZER</v>
    <v>PFIZER LIMITED (XNSE:PFIZER)</v>
    <v>22742</v>
    <v>1950</v>
  </rv>
  <rv s="2">
    <v>453</v>
  </rv>
  <rv s="0">
    <v>https://www.bing.com/financeapi/forcetrigger?t=ahk9m7&amp;q=XNSE%3aTATAELXSI&amp;form=skydnc</v>
    <v>Learn more on Bing</v>
  </rv>
  <rv s="1">
    <v>en-IN</v>
    <v>ahk9m7</v>
    <v>268435456</v>
    <v>1</v>
    <v>Powered by Refinitiv</v>
    <v>0</v>
    <v>TATA ELXSI LIMITED (XNSE:TATAELXSI)</v>
    <v>2</v>
    <v>3</v>
    <v>Finance</v>
    <v>4</v>
    <v>6730</v>
    <v>1854.88</v>
    <v>1.1561999999999999</v>
    <v>180.4</v>
    <v>3.1105999999999998E-2</v>
    <v>INR</v>
    <v>Tata Elxsi Limited is engaged in the design and development of computer hardware and software. The Company operates in two segments: System integration &amp; support, and Software Development &amp; Services. Its system integration &amp; support segment is engaged in implementing and integrating systems and solutions for computing, broadcast, virtual reality, storage, and disaster recovery. Its software development &amp; services segment comprises three business divisions: Embedded Product Design, which provides technology consulting, new product design, development, and testing services for the broadcast, consumer electronics, healthcare, telecom and transportation industries; Industrial Design (ID), which services a range of industries, including automotive, consumer electronics, retail and consumer goods and healthcare, and Visual Computing Labs (VCL), which provides three dimensional (3D) animation services, addressing content development for feature films, television and advertising commercials.</v>
    <v>7362</v>
    <v>National Stock Exchange of India</v>
    <v>XNSE</v>
    <v>XNSE</v>
    <v>ITPL Road,, Whitefield,, BANGALORE, KARNATAKA, 560048 IN</v>
    <v>6020</v>
    <v>Software &amp; IT Services</v>
    <v>Stock</v>
    <v>44571.406342592592</v>
    <v>455</v>
    <v>5800</v>
    <v>361175300000</v>
    <v>TATA ELXSI LIMITED</v>
    <v>TATA ELXSI LIMITED</v>
    <v>5861.05</v>
    <v>78.67</v>
    <v>5799.55</v>
    <v>5979.95</v>
    <v>62276440</v>
    <v>TATAELXSI</v>
    <v>TATA ELXSI LIMITED (XNSE:TATAELXSI)</v>
    <v>163601</v>
    <v>1989</v>
  </rv>
  <rv s="2">
    <v>456</v>
  </rv>
  <rv s="0">
    <v>https://www.bing.com/financeapi/forcetrigger?t=ahh3im&amp;q=XNSE%3aBAJFINANCE&amp;form=skydnc</v>
    <v>Learn more on Bing</v>
  </rv>
  <rv s="1">
    <v>en-IN</v>
    <v>ahh3im</v>
    <v>268435456</v>
    <v>1</v>
    <v>Powered by Refinitiv</v>
    <v>0</v>
    <v>BAJAJ FINANCE LIMITED (XNSE:BAJFINANCE)</v>
    <v>2</v>
    <v>3</v>
    <v>Finance</v>
    <v>4</v>
    <v>8050</v>
    <v>4362</v>
    <v>1.7927</v>
    <v>80.5</v>
    <v>1.0509999999999999E-2</v>
    <v>INR</v>
    <v>Bajaj Finance Limited is a non-banking finance company (NBFC). The Company is engaged in lending and allied activities. It focuses on consumer lending, small and medium-sized enterprises (SME) lending, commercial lending, rural lending, fixed deposits and value-added services. Its consumer lending products include two-wheelers and three-wheelers finance, consumer durables finance, digital products finance, retailer finance, salaried personal loans, e-commerce consumer finance, e-commerce seller finance and home loan. Its SME lending products include loan against property and business loans. Its commercial lending products include loan against securities and financial institutions group lending business. Its rural lending products include personal loans cross-sell, salaried personal loans and gold loans. It offers retail fixed deposits and wholesale fixed deposits. It is engaged in life insurance distribution, general insurance distribution and mutual fund distribution.</v>
    <v>28546</v>
    <v>National Stock Exchange of India</v>
    <v>XNSE</v>
    <v>XNSE</v>
    <v>4th Floor, Bajaj Finserv Corporate Office,, Off Pune-Ahmednagar Road,, Viman Nagar,, PUNE, MAHARASHTRA, 411014 IN</v>
    <v>7759</v>
    <v>Banking Services</v>
    <v>Stock</v>
    <v>44571.406388888892</v>
    <v>458</v>
    <v>7669.75</v>
    <v>4615118000000</v>
    <v>BAJAJ FINANCE LIMITED</v>
    <v>BAJAJ FINANCE LIMITED</v>
    <v>7686</v>
    <v>92.6</v>
    <v>7659.35</v>
    <v>7739.85</v>
    <v>602546900</v>
    <v>BAJFINANCE</v>
    <v>BAJAJ FINANCE LIMITED (XNSE:BAJFINANCE)</v>
    <v>587524</v>
    <v>1987</v>
  </rv>
  <rv s="2">
    <v>459</v>
  </rv>
  <rv s="0">
    <v>https://www.bing.com/financeapi/forcetrigger?t=ahh3a2&amp;q=XNSE%3aBAJAJFINSV&amp;form=skydnc</v>
    <v>Learn more on Bing</v>
  </rv>
  <rv s="1">
    <v>en-IN</v>
    <v>ahh3a2</v>
    <v>268435456</v>
    <v>1</v>
    <v>Powered by Refinitiv</v>
    <v>0</v>
    <v>Bajaj Finserv Limited (XNSE:BAJAJFINSV)</v>
    <v>2</v>
    <v>3</v>
    <v>Finance</v>
    <v>4</v>
    <v>19325</v>
    <v>8273.7000000000007</v>
    <v>1.7271000000000001</v>
    <v>71.05</v>
    <v>4.0010000000000002E-3</v>
    <v>INR</v>
    <v>Bajaj Finserv Limited is a holding company for various financial services businesses. The Company is engaged in the business of promoting financial services, such as finance, insurance and wealth management, through its investments in subsidiaries and joint ventures. The Company is also engaged in the business of generating power through wind turbines, a renewable source of energy. Its segments include Insurance, Windmill, Retail financing, and Investments and others. The Company is also involved in wind-farm activities. The Company focuses on six categories: consumer lending, small and medium enterprise (SME) lending, commercial lending, rural lending, fixed deposits and value added services. It serves various customers in the financial services space by providing solutions for asset acquisition through financing, asset protection through general insurance, family protection and income protection in the form of life and health insurance, and retirement and savings solutions.</v>
    <v>105</v>
    <v>National Stock Exchange of India</v>
    <v>XNSE</v>
    <v>XNSE</v>
    <v>4th Floor,Bajaj Finserv Corporate Office, Off Pune, Ahmednagar Road, Viman Nagar, PUNE, MAHARASHTRA, 411014 IN</v>
    <v>18000</v>
    <v>Insurance</v>
    <v>Stock</v>
    <v>44571.406365740739</v>
    <v>461</v>
    <v>17730.650000000001</v>
    <v>2822054000000</v>
    <v>Bajaj Finserv Limited</v>
    <v>Bajaj Finserv Limited</v>
    <v>17800</v>
    <v>66.95</v>
    <v>17756.900000000001</v>
    <v>17827.95</v>
    <v>158927200</v>
    <v>BAJAJFINSV</v>
    <v>Bajaj Finserv Limited (XNSE:BAJAJFINSV)</v>
    <v>155356</v>
    <v>2007</v>
  </rv>
  <rv s="2">
    <v>462</v>
  </rv>
</rvData>
</file>

<file path=xl/richData/rdrichvaluestructure.xml><?xml version="1.0" encoding="utf-8"?>
<rvStructures xmlns="http://schemas.microsoft.com/office/spreadsheetml/2017/richdata" count="12">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earnMoreOnLink" t="r"/>
    <k n="Low"/>
    <k n="Name" t="s"/>
    <k n="Official name" t="s"/>
    <k n="Open"/>
    <k n="Previous close"/>
    <k n="Price"/>
    <k n="Ticker symbol" t="s"/>
    <k n="UniqueName" t="s"/>
    <k n="Volume"/>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s>
</rvStructures>
</file>

<file path=xl/richData/rdsupportingpropertybag.xml><?xml version="1.0" encoding="utf-8"?>
<supportingPropertyBags xmlns="http://schemas.microsoft.com/office/spreadsheetml/2017/richdata2">
  <spbArrays count="8">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Description</v>
      <v t="s">Headquarters</v>
      <v t="s">Instrument type</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P/E</v>
      <v t="s">Shares outstanding</v>
      <v t="s">Description</v>
      <v t="s">Employees</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P/E</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Employees</v>
      <v t="s">Headquarters</v>
      <v t="s">Industry</v>
      <v t="s">Instrument type</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P/E</v>
      <v t="s">Shares outstanding</v>
      <v t="s">Description</v>
      <v t="s">Employees</v>
      <v t="s">Headquarters</v>
      <v t="s">Industry</v>
      <v t="s">Instrument type</v>
      <v t="s">_Flags</v>
      <v t="s">UniqueName</v>
      <v t="s">_DisplayString</v>
      <v t="s">LearnMoreOnLink</v>
      <v t="s">ExchangeID</v>
      <v t="s">%ProviderInfo</v>
    </a>
  </spbArrays>
  <spbData count="23">
    <spb s="0">
      <v>0</v>
      <v>Name</v>
      <v>LearnMoreOnLink</v>
    </spb>
    <spb s="1">
      <v>0</v>
      <v>0</v>
      <v>0</v>
    </spb>
    <spb s="2">
      <v>1</v>
      <v>1</v>
      <v>1</v>
      <v>1</v>
    </spb>
    <spb s="3">
      <v>1</v>
      <v>2</v>
      <v>2</v>
      <v>1</v>
      <v>3</v>
      <v>1</v>
      <v>1</v>
      <v>1</v>
      <v>4</v>
      <v>4</v>
      <v>5</v>
      <v>6</v>
      <v>1</v>
      <v>1</v>
      <v>1</v>
      <v>7</v>
      <v>8</v>
      <v>9</v>
      <v>4</v>
    </spb>
    <spb s="4">
      <v>Delayed 5 minutes</v>
      <v>from previous close</v>
      <v>from previous close</v>
      <v>GMT</v>
    </spb>
    <spb s="0">
      <v>1</v>
      <v>Name</v>
      <v>LearnMoreOnLink</v>
    </spb>
    <spb s="5">
      <v>1</v>
      <v>2</v>
      <v>2</v>
      <v>1</v>
      <v>3</v>
      <v>1</v>
      <v>1</v>
      <v>1</v>
      <v>4</v>
      <v>5</v>
      <v>6</v>
      <v>1</v>
      <v>1</v>
      <v>1</v>
      <v>7</v>
      <v>8</v>
      <v>9</v>
      <v>4</v>
    </spb>
    <spb s="4">
      <v>Delayed 15 minutes</v>
      <v>from previous close</v>
      <v>from previous close</v>
      <v>GMT</v>
    </spb>
    <spb s="0">
      <v>2</v>
      <v>Name</v>
      <v>LearnMoreOnLink</v>
    </spb>
    <spb s="6">
      <v>1</v>
      <v>1</v>
      <v>3</v>
      <v>1</v>
      <v>1</v>
      <v>1</v>
      <v>4</v>
      <v>5</v>
      <v>1</v>
      <v>1</v>
      <v>1</v>
      <v>7</v>
      <v>9</v>
    </spb>
    <spb s="0">
      <v>3</v>
      <v>Name</v>
      <v>LearnMoreOnLink</v>
    </spb>
    <spb s="7">
      <v>0</v>
      <v>0</v>
    </spb>
    <spb s="8">
      <v>11</v>
      <v>1</v>
      <v>1</v>
      <v>1</v>
      <v>1</v>
    </spb>
    <spb s="9">
      <v>1</v>
      <v>2</v>
      <v>2</v>
      <v>1</v>
      <v>3</v>
      <v>1</v>
      <v>10</v>
      <v>1</v>
      <v>1</v>
      <v>4</v>
      <v>4</v>
      <v>5</v>
      <v>6</v>
      <v>1</v>
      <v>1</v>
      <v>1</v>
      <v>7</v>
      <v>8</v>
      <v>9</v>
      <v>4</v>
    </spb>
    <spb s="10">
      <v>Powered by Refinitiv</v>
    </spb>
    <spb s="0">
      <v>4</v>
      <v>Name</v>
      <v>LearnMoreOnLink</v>
    </spb>
    <spb s="11">
      <v>1</v>
      <v>2</v>
      <v>1</v>
      <v>3</v>
      <v>1</v>
      <v>1</v>
      <v>1</v>
      <v>4</v>
      <v>4</v>
      <v>5</v>
      <v>6</v>
      <v>1</v>
      <v>1</v>
      <v>1</v>
      <v>7</v>
      <v>8</v>
      <v>9</v>
      <v>4</v>
    </spb>
    <spb s="0">
      <v>5</v>
      <v>Name</v>
      <v>LearnMoreOnLink</v>
    </spb>
    <spb s="12">
      <v>1</v>
      <v>2</v>
      <v>1</v>
      <v>3</v>
      <v>1</v>
      <v>1</v>
      <v>1</v>
      <v>4</v>
      <v>5</v>
      <v>6</v>
      <v>1</v>
      <v>1</v>
      <v>1</v>
      <v>7</v>
      <v>8</v>
      <v>9</v>
      <v>4</v>
    </spb>
    <spb s="0">
      <v>6</v>
      <v>Name</v>
      <v>LearnMoreOnLink</v>
    </spb>
    <spb s="13">
      <v>1</v>
      <v>2</v>
      <v>2</v>
      <v>1</v>
      <v>3</v>
      <v>1</v>
      <v>1</v>
      <v>1</v>
      <v>4</v>
      <v>4</v>
      <v>5</v>
      <v>6</v>
      <v>1</v>
      <v>1</v>
      <v>1</v>
      <v>7</v>
      <v>9</v>
      <v>4</v>
    </spb>
    <spb s="0">
      <v>7</v>
      <v>Name</v>
      <v>LearnMoreOnLink</v>
    </spb>
    <spb s="14">
      <v>1</v>
      <v>2</v>
      <v>1</v>
      <v>3</v>
      <v>1</v>
      <v>1</v>
      <v>1</v>
      <v>4</v>
      <v>4</v>
      <v>5</v>
      <v>6</v>
      <v>1</v>
      <v>1</v>
      <v>1</v>
      <v>7</v>
      <v>9</v>
      <v>4</v>
    </spb>
  </spbData>
</supportingPropertyBags>
</file>

<file path=xl/richData/rdsupportingpropertybagstructure.xml><?xml version="1.0" encoding="utf-8"?>
<spbStructures xmlns="http://schemas.microsoft.com/office/spreadsheetml/2017/richdata2" count="1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Last trade time" t="i"/>
    <k n="Year incorporated" t="i"/>
    <k n="`%EntityServiceId" t="i"/>
    <k n="Shares outstanding" t="i"/>
  </s>
  <s>
    <k n="Price" t="s"/>
    <k n="Change" t="s"/>
    <k n="Change (%)" t="s"/>
    <k n="Last trade time" t="s"/>
  </s>
  <s>
    <k n="Low" t="i"/>
    <k n="P/E" t="i"/>
    <k n="Beta" t="i"/>
    <k n="High" t="i"/>
    <k n="Name" t="i"/>
    <k n="Open" t="i"/>
    <k n="Price" t="i"/>
    <k n="Change" t="i"/>
    <k n="Volume" t="i"/>
    <k n="Change (%)" t="i"/>
    <k n="Market cap" t="i"/>
    <k n="52 week low" t="i"/>
    <k n="52 week high" t="i"/>
    <k n="Previous close" t="i"/>
    <k n="Last trade time" t="i"/>
    <k n="Year incorporated" t="i"/>
    <k n="`%EntityServiceId" t="i"/>
    <k n="Shares outstanding" t="i"/>
  </s>
  <s>
    <k n="Low" t="i"/>
    <k n="High" t="i"/>
    <k n="Name" t="i"/>
    <k n="Open" t="i"/>
    <k n="Price" t="i"/>
    <k n="Change" t="i"/>
    <k n="Volume" t="i"/>
    <k n="Change (%)" t="i"/>
    <k n="52 week low" t="i"/>
    <k n="52 week high" t="i"/>
    <k n="Previous close" t="i"/>
    <k n="Last trade time" t="i"/>
    <k n="`%EntityServiceId"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Last trade time" t="i"/>
    <k n="Year incorporated" t="i"/>
    <k n="`%EntityServiceId" t="i"/>
    <k n="Shares outstanding" t="i"/>
  </s>
  <s>
    <k n="name" t="s"/>
  </s>
  <s>
    <k n="Low" t="i"/>
    <k n="P/E" t="i"/>
    <k n="High" t="i"/>
    <k n="Name" t="i"/>
    <k n="Open" t="i"/>
    <k n="Price" t="i"/>
    <k n="Change" t="i"/>
    <k n="Volume" t="i"/>
    <k n="Employees" t="i"/>
    <k n="Change (%)" t="i"/>
    <k n="Market cap" t="i"/>
    <k n="52 week low" t="i"/>
    <k n="52 week high" t="i"/>
    <k n="Previous close" t="i"/>
    <k n="Last trade time" t="i"/>
    <k n="Year incorporated" t="i"/>
    <k n="`%EntityServiceId" t="i"/>
    <k n="Shares outstanding" t="i"/>
  </s>
  <s>
    <k n="Low" t="i"/>
    <k n="P/E" t="i"/>
    <k n="High" t="i"/>
    <k n="Name" t="i"/>
    <k n="Open" t="i"/>
    <k n="Price" t="i"/>
    <k n="Change" t="i"/>
    <k n="Volume" t="i"/>
    <k n="Change (%)" t="i"/>
    <k n="Market cap" t="i"/>
    <k n="52 week low" t="i"/>
    <k n="52 week high" t="i"/>
    <k n="Previous clos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Last trade time" t="i"/>
    <k n="`%EntityServiceId" t="i"/>
    <k n="Shares outstanding" t="i"/>
  </s>
  <s>
    <k n="Low" t="i"/>
    <k n="P/E" t="i"/>
    <k n="High" t="i"/>
    <k n="Name" t="i"/>
    <k n="Open" t="i"/>
    <k n="Price" t="i"/>
    <k n="Change" t="i"/>
    <k n="Volume" t="i"/>
    <k n="Employees" t="i"/>
    <k n="Change (%)" t="i"/>
    <k n="Market cap" t="i"/>
    <k n="52 week low" t="i"/>
    <k n="52 week high" t="i"/>
    <k n="Previous close" t="i"/>
    <k n="Last trade time"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165" formatCode="_ [$₹-4009]\ * #,##0.00_ ;_ [$₹-4009]\ * \-#,##0.00_ ;_ [$₹-4009]\ * &quot;-&quot;??_ ;_ @_ "/>
    </x:dxf>
    <x:dxf>
      <x:numFmt numFmtId="27" formatCode="dd/mm/yyyy\ hh:mm"/>
    </x:dxf>
    <x:dxf>
      <x:numFmt numFmtId="14" formatCode="0.00%"/>
    </x:dxf>
    <x:dxf>
      <x:numFmt numFmtId="3" formatCode="#,##0"/>
    </x:dxf>
    <x:dxf>
      <x:numFmt numFmtId="164" formatCode="_ [$₹-4009]\ * #,##0_ ;_ [$₹-4009]\ * \-#,##0_ ;_ [$₹-4009]\ * &quot;-&quot;_ ;_ @_ "/>
    </x:dxf>
    <x:dxf>
      <x:numFmt numFmtId="4" formatCode="#,##0.00"/>
    </x:dxf>
    <x:dxf>
      <x:numFmt numFmtId="1" formatCode="0"/>
    </x:dxf>
  </dxfs>
  <richProperties>
    <rPr n="IsTitleField" t="b"/>
    <rPr n="IsHeroField" t="b"/>
  </richProperties>
  <richStyles>
    <rSty dxfid="1"/>
    <rSty dxfid="6"/>
    <rSty>
      <rpv i="0">1</rpv>
    </rSty>
    <rSty dxfid="4"/>
    <rSty dxfid="3"/>
    <rSty dxfid="5"/>
    <rSty dxfid="2"/>
    <rSty dxfid="7"/>
    <rSty dxfid="0"/>
    <rSty>
      <rpv i="1">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 dT="2021-12-27T18:48:26.49" personId="{AFB68929-2D7C-4B3D-AE52-DC3217CAFCF9}" id="{7032221E-D172-40B3-8CCC-D85EFF42866F}">
    <text>PUBLIC HOLDING 68</text>
  </threadedComment>
  <threadedComment ref="L2" dT="2021-12-27T18:48:44.41" personId="{AFB68929-2D7C-4B3D-AE52-DC3217CAFCF9}" id="{BA378A54-287A-4C18-AB8E-D6EF52E9382B}" parentId="{7032221E-D172-40B3-8CCC-D85EFF42866F}">
    <text>BULK DEAL HIGHLIGHT</text>
  </threadedComment>
</ThreadedComments>
</file>

<file path=xl/threadedComments/threadedComment2.xml><?xml version="1.0" encoding="utf-8"?>
<ThreadedComments xmlns="http://schemas.microsoft.com/office/spreadsheetml/2018/threadedcomments" xmlns:x="http://schemas.openxmlformats.org/spreadsheetml/2006/main">
  <threadedComment ref="D22" dT="2022-01-03T07:15:43.23" personId="{AFB68929-2D7C-4B3D-AE52-DC3217CAFCF9}" id="{0AFB8F0C-8279-47C1-AA58-2E2EC0787813}">
    <text>GST Tax ~50% sin category, bjp govt changes possible to grow</text>
  </threadedComment>
</ThreadedComments>
</file>

<file path=xl/threadedComments/threadedComment3.xml><?xml version="1.0" encoding="utf-8"?>
<ThreadedComments xmlns="http://schemas.microsoft.com/office/spreadsheetml/2018/threadedcomments" xmlns:x="http://schemas.openxmlformats.org/spreadsheetml/2006/main">
  <threadedComment ref="B6" dT="2022-01-03T07:11:20.40" personId="{AFB68929-2D7C-4B3D-AE52-DC3217CAFCF9}" id="{8D4A3618-B1C4-4FB1-91B2-C8C98B4C348A}">
    <text>1-shortterm</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CD2-1F9D-436A-89D8-071CBBB2A3A5}">
  <dimension ref="A1:P24"/>
  <sheetViews>
    <sheetView zoomScale="85" zoomScaleNormal="85" workbookViewId="0">
      <selection sqref="A1:XFD1"/>
    </sheetView>
  </sheetViews>
  <sheetFormatPr defaultRowHeight="14.5" x14ac:dyDescent="0.35"/>
  <cols>
    <col min="1" max="1" width="10.81640625" bestFit="1" customWidth="1"/>
    <col min="2" max="2" width="10.453125" bestFit="1" customWidth="1"/>
    <col min="3" max="3" width="11.7265625" bestFit="1" customWidth="1"/>
    <col min="14" max="14" width="19.26953125" bestFit="1" customWidth="1"/>
  </cols>
  <sheetData>
    <row r="1" spans="1:16" s="3" customFormat="1" x14ac:dyDescent="0.35">
      <c r="A1" s="3" t="s">
        <v>38</v>
      </c>
      <c r="B1" s="3" t="s">
        <v>30</v>
      </c>
      <c r="C1" s="3" t="s">
        <v>31</v>
      </c>
      <c r="D1" s="3" t="s">
        <v>32</v>
      </c>
      <c r="E1" s="3" t="s">
        <v>3</v>
      </c>
      <c r="F1" s="3" t="s">
        <v>4</v>
      </c>
      <c r="G1" s="3" t="s">
        <v>5</v>
      </c>
      <c r="H1" s="3" t="s">
        <v>6</v>
      </c>
      <c r="I1" s="3" t="s">
        <v>7</v>
      </c>
      <c r="J1" s="3" t="s">
        <v>17</v>
      </c>
      <c r="K1" s="3" t="s">
        <v>19</v>
      </c>
      <c r="L1" s="3" t="s">
        <v>8</v>
      </c>
      <c r="M1" s="3" t="s">
        <v>10</v>
      </c>
      <c r="N1" s="3" t="s">
        <v>33</v>
      </c>
      <c r="O1" s="3" t="s">
        <v>24</v>
      </c>
    </row>
    <row r="2" spans="1:16" x14ac:dyDescent="0.35">
      <c r="A2" s="7">
        <v>44558</v>
      </c>
      <c r="B2" s="4" t="s">
        <v>16</v>
      </c>
      <c r="C2" s="5" t="s">
        <v>14</v>
      </c>
      <c r="D2">
        <v>930</v>
      </c>
      <c r="E2">
        <v>32</v>
      </c>
      <c r="F2">
        <v>29</v>
      </c>
      <c r="G2">
        <v>28</v>
      </c>
      <c r="H2">
        <v>241</v>
      </c>
      <c r="I2">
        <v>2</v>
      </c>
      <c r="J2">
        <v>22</v>
      </c>
      <c r="K2" s="1"/>
      <c r="L2" t="s">
        <v>9</v>
      </c>
      <c r="M2" t="s">
        <v>11</v>
      </c>
      <c r="N2" s="6" t="s">
        <v>37</v>
      </c>
    </row>
    <row r="3" spans="1:16" x14ac:dyDescent="0.35">
      <c r="A3" s="7">
        <v>44558</v>
      </c>
      <c r="B3" s="4" t="s">
        <v>16</v>
      </c>
      <c r="C3" s="5" t="s">
        <v>15</v>
      </c>
      <c r="D3">
        <v>794</v>
      </c>
      <c r="E3">
        <v>26</v>
      </c>
      <c r="F3">
        <v>31</v>
      </c>
      <c r="G3">
        <v>28</v>
      </c>
      <c r="H3">
        <v>206</v>
      </c>
      <c r="I3">
        <v>1</v>
      </c>
      <c r="J3">
        <v>27</v>
      </c>
      <c r="L3" t="s">
        <v>9</v>
      </c>
      <c r="M3" t="s">
        <v>11</v>
      </c>
      <c r="N3" s="6" t="s">
        <v>37</v>
      </c>
    </row>
    <row r="4" spans="1:16" x14ac:dyDescent="0.35">
      <c r="A4" s="7">
        <v>44558</v>
      </c>
      <c r="B4" s="4" t="s">
        <v>13</v>
      </c>
      <c r="C4" s="5" t="s">
        <v>12</v>
      </c>
      <c r="D4">
        <v>640</v>
      </c>
      <c r="E4">
        <v>6</v>
      </c>
      <c r="F4">
        <v>115</v>
      </c>
      <c r="G4">
        <v>70</v>
      </c>
      <c r="H4">
        <v>44</v>
      </c>
      <c r="I4">
        <v>10</v>
      </c>
      <c r="J4">
        <v>1</v>
      </c>
      <c r="L4" t="s">
        <v>9</v>
      </c>
      <c r="M4" t="s">
        <v>11</v>
      </c>
      <c r="N4" s="6" t="s">
        <v>37</v>
      </c>
    </row>
    <row r="5" spans="1:16" x14ac:dyDescent="0.35">
      <c r="A5" s="7">
        <v>44558</v>
      </c>
      <c r="B5" s="4" t="s">
        <v>20</v>
      </c>
      <c r="C5" s="5" t="s">
        <v>18</v>
      </c>
      <c r="D5">
        <v>718</v>
      </c>
      <c r="E5">
        <v>8</v>
      </c>
      <c r="F5">
        <v>85</v>
      </c>
      <c r="G5">
        <v>13</v>
      </c>
      <c r="H5">
        <v>158</v>
      </c>
      <c r="I5">
        <v>1</v>
      </c>
      <c r="J5">
        <v>12</v>
      </c>
      <c r="K5">
        <v>30</v>
      </c>
      <c r="L5" t="s">
        <v>9</v>
      </c>
      <c r="M5" t="s">
        <v>11</v>
      </c>
      <c r="N5" s="6" t="s">
        <v>37</v>
      </c>
    </row>
    <row r="6" spans="1:16" x14ac:dyDescent="0.35">
      <c r="A6" s="7">
        <v>44558</v>
      </c>
      <c r="B6" s="4" t="s">
        <v>21</v>
      </c>
      <c r="C6" s="5" t="s">
        <v>22</v>
      </c>
      <c r="D6">
        <v>1840</v>
      </c>
      <c r="E6">
        <v>-5</v>
      </c>
      <c r="F6">
        <v>0</v>
      </c>
      <c r="G6">
        <v>34</v>
      </c>
      <c r="H6">
        <v>301</v>
      </c>
      <c r="I6">
        <v>5</v>
      </c>
      <c r="J6">
        <v>-58</v>
      </c>
      <c r="K6">
        <v>30</v>
      </c>
      <c r="L6" t="s">
        <v>9</v>
      </c>
      <c r="M6" t="s">
        <v>11</v>
      </c>
      <c r="N6" s="6" t="s">
        <v>37</v>
      </c>
    </row>
    <row r="7" spans="1:16" x14ac:dyDescent="0.35">
      <c r="A7" s="7">
        <v>44558</v>
      </c>
      <c r="B7" s="4" t="s">
        <v>25</v>
      </c>
      <c r="C7" s="5" t="s">
        <v>23</v>
      </c>
      <c r="D7">
        <v>1866</v>
      </c>
      <c r="E7">
        <v>62</v>
      </c>
      <c r="F7">
        <v>30</v>
      </c>
      <c r="G7">
        <v>17</v>
      </c>
      <c r="H7">
        <v>545</v>
      </c>
      <c r="I7">
        <v>2</v>
      </c>
      <c r="J7">
        <v>17</v>
      </c>
      <c r="L7" t="s">
        <v>9</v>
      </c>
      <c r="M7" t="s">
        <v>11</v>
      </c>
      <c r="N7" s="6" t="s">
        <v>37</v>
      </c>
      <c r="O7">
        <v>1</v>
      </c>
    </row>
    <row r="8" spans="1:16" x14ac:dyDescent="0.35">
      <c r="A8" s="7">
        <v>44558</v>
      </c>
      <c r="B8" s="4" t="s">
        <v>34</v>
      </c>
      <c r="C8" s="5" t="s">
        <v>36</v>
      </c>
      <c r="D8">
        <v>340</v>
      </c>
      <c r="E8">
        <v>50</v>
      </c>
      <c r="F8">
        <v>7</v>
      </c>
      <c r="G8">
        <v>11</v>
      </c>
      <c r="K8">
        <v>112</v>
      </c>
      <c r="L8" t="s">
        <v>9</v>
      </c>
      <c r="M8" t="s">
        <v>11</v>
      </c>
      <c r="N8" s="6" t="s">
        <v>35</v>
      </c>
      <c r="O8">
        <v>9</v>
      </c>
      <c r="P8" t="s">
        <v>43</v>
      </c>
    </row>
    <row r="9" spans="1:16" x14ac:dyDescent="0.35">
      <c r="A9" s="7">
        <v>44558</v>
      </c>
      <c r="B9" s="4" t="s">
        <v>40</v>
      </c>
      <c r="C9" s="5" t="s">
        <v>39</v>
      </c>
      <c r="D9">
        <v>226</v>
      </c>
      <c r="E9" t="s">
        <v>42</v>
      </c>
      <c r="N9" s="6" t="s">
        <v>41</v>
      </c>
      <c r="P9" t="s">
        <v>46</v>
      </c>
    </row>
    <row r="10" spans="1:16" x14ac:dyDescent="0.35">
      <c r="A10" s="7">
        <v>44558</v>
      </c>
      <c r="B10" s="4" t="s">
        <v>44</v>
      </c>
      <c r="C10" s="5" t="s">
        <v>45</v>
      </c>
      <c r="D10">
        <v>206</v>
      </c>
      <c r="N10" s="6" t="s">
        <v>41</v>
      </c>
    </row>
    <row r="11" spans="1:16" x14ac:dyDescent="0.35">
      <c r="A11" s="7">
        <v>44558</v>
      </c>
      <c r="B11" s="4" t="s">
        <v>49</v>
      </c>
      <c r="C11" s="5" t="s">
        <v>50</v>
      </c>
      <c r="D11">
        <v>471</v>
      </c>
      <c r="E11">
        <v>-40.299999999999997</v>
      </c>
      <c r="G11">
        <v>341</v>
      </c>
      <c r="H11">
        <v>135</v>
      </c>
      <c r="I11">
        <v>2</v>
      </c>
      <c r="J11">
        <v>12</v>
      </c>
      <c r="N11" s="6" t="s">
        <v>37</v>
      </c>
    </row>
    <row r="12" spans="1:16" x14ac:dyDescent="0.35">
      <c r="A12" s="7">
        <v>44558</v>
      </c>
      <c r="B12" s="4" t="s">
        <v>49</v>
      </c>
      <c r="C12" s="5" t="s">
        <v>51</v>
      </c>
      <c r="D12">
        <v>819</v>
      </c>
      <c r="E12">
        <v>33</v>
      </c>
      <c r="F12">
        <v>23</v>
      </c>
      <c r="G12">
        <v>257</v>
      </c>
      <c r="H12">
        <v>347</v>
      </c>
      <c r="I12">
        <v>5</v>
      </c>
      <c r="J12">
        <v>14</v>
      </c>
      <c r="N12" s="6" t="s">
        <v>37</v>
      </c>
      <c r="O12">
        <v>1</v>
      </c>
      <c r="P12" t="s">
        <v>52</v>
      </c>
    </row>
    <row r="13" spans="1:16" x14ac:dyDescent="0.35">
      <c r="A13" s="7">
        <v>44558</v>
      </c>
      <c r="B13" s="4" t="s">
        <v>49</v>
      </c>
      <c r="C13" s="5" t="s">
        <v>53</v>
      </c>
      <c r="D13">
        <v>123</v>
      </c>
      <c r="E13">
        <v>-0.04</v>
      </c>
      <c r="G13">
        <v>341</v>
      </c>
      <c r="H13">
        <v>25</v>
      </c>
      <c r="I13">
        <v>1</v>
      </c>
      <c r="J13">
        <v>11</v>
      </c>
      <c r="N13" s="6" t="s">
        <v>37</v>
      </c>
      <c r="O13">
        <v>0.5</v>
      </c>
    </row>
    <row r="14" spans="1:16" x14ac:dyDescent="0.35">
      <c r="A14" s="7">
        <v>44558</v>
      </c>
      <c r="C14" s="5" t="s">
        <v>54</v>
      </c>
      <c r="D14">
        <v>164</v>
      </c>
      <c r="E14">
        <v>9.33</v>
      </c>
      <c r="F14">
        <v>17.5</v>
      </c>
      <c r="G14">
        <v>21.6</v>
      </c>
      <c r="H14">
        <v>90</v>
      </c>
      <c r="I14">
        <v>1</v>
      </c>
      <c r="J14">
        <v>9.5</v>
      </c>
      <c r="N14" s="6" t="s">
        <v>37</v>
      </c>
      <c r="O14">
        <v>1.22</v>
      </c>
    </row>
    <row r="15" spans="1:16" x14ac:dyDescent="0.35">
      <c r="A15" s="7">
        <v>44558</v>
      </c>
      <c r="C15" s="5" t="s">
        <v>55</v>
      </c>
      <c r="D15">
        <v>217</v>
      </c>
      <c r="E15">
        <v>5</v>
      </c>
      <c r="F15">
        <v>45</v>
      </c>
      <c r="G15">
        <v>45</v>
      </c>
      <c r="H15">
        <v>67</v>
      </c>
      <c r="I15">
        <v>1</v>
      </c>
      <c r="J15">
        <v>17</v>
      </c>
      <c r="N15" s="6" t="s">
        <v>37</v>
      </c>
      <c r="O15">
        <v>0.7</v>
      </c>
    </row>
    <row r="16" spans="1:16" x14ac:dyDescent="0.35">
      <c r="A16" s="7">
        <v>44558</v>
      </c>
      <c r="C16" s="5" t="s">
        <v>56</v>
      </c>
      <c r="D16">
        <v>1045</v>
      </c>
      <c r="E16">
        <v>20</v>
      </c>
      <c r="F16">
        <v>54</v>
      </c>
      <c r="G16">
        <v>21</v>
      </c>
      <c r="H16">
        <v>164</v>
      </c>
      <c r="I16">
        <v>5</v>
      </c>
      <c r="J16">
        <v>10</v>
      </c>
      <c r="N16" s="6" t="s">
        <v>37</v>
      </c>
      <c r="O16">
        <v>0.14000000000000001</v>
      </c>
    </row>
    <row r="17" spans="1:1" x14ac:dyDescent="0.35">
      <c r="A17" s="7">
        <v>44558</v>
      </c>
    </row>
    <row r="18" spans="1:1" x14ac:dyDescent="0.35">
      <c r="A18" s="7">
        <v>44558</v>
      </c>
    </row>
    <row r="19" spans="1:1" x14ac:dyDescent="0.35">
      <c r="A19" s="7">
        <v>44558</v>
      </c>
    </row>
    <row r="20" spans="1:1" x14ac:dyDescent="0.35">
      <c r="A20" s="7">
        <v>44558</v>
      </c>
    </row>
    <row r="21" spans="1:1" x14ac:dyDescent="0.35">
      <c r="A21" s="7">
        <v>44558</v>
      </c>
    </row>
    <row r="22" spans="1:1" x14ac:dyDescent="0.35">
      <c r="A22" s="7">
        <v>44558</v>
      </c>
    </row>
    <row r="23" spans="1:1" x14ac:dyDescent="0.35">
      <c r="A23" s="7">
        <v>44558</v>
      </c>
    </row>
    <row r="24" spans="1:1" x14ac:dyDescent="0.35">
      <c r="A24" s="7">
        <v>44558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69D16-0A42-4B62-8556-CF09329A5006}">
  <dimension ref="A1:O16"/>
  <sheetViews>
    <sheetView workbookViewId="0">
      <selection activeCell="B11" sqref="B11"/>
    </sheetView>
  </sheetViews>
  <sheetFormatPr defaultRowHeight="14.5" x14ac:dyDescent="0.35"/>
  <cols>
    <col min="1" max="1" width="18.36328125" bestFit="1" customWidth="1"/>
  </cols>
  <sheetData>
    <row r="1" spans="1:15" x14ac:dyDescent="0.35">
      <c r="A1" t="s">
        <v>2</v>
      </c>
      <c r="B1" t="s">
        <v>0</v>
      </c>
      <c r="C1" t="s">
        <v>1</v>
      </c>
      <c r="D1" t="s">
        <v>3</v>
      </c>
      <c r="E1" t="s">
        <v>4</v>
      </c>
      <c r="F1" t="s">
        <v>5</v>
      </c>
      <c r="G1" t="s">
        <v>6</v>
      </c>
      <c r="H1" t="s">
        <v>7</v>
      </c>
      <c r="I1" t="s">
        <v>17</v>
      </c>
      <c r="J1" t="s">
        <v>19</v>
      </c>
      <c r="K1" t="s">
        <v>8</v>
      </c>
      <c r="L1" t="s">
        <v>10</v>
      </c>
      <c r="M1" t="s">
        <v>24</v>
      </c>
    </row>
    <row r="2" spans="1:15" x14ac:dyDescent="0.35">
      <c r="A2" t="s">
        <v>27</v>
      </c>
      <c r="B2" t="s">
        <v>26</v>
      </c>
      <c r="C2">
        <v>17</v>
      </c>
      <c r="D2">
        <v>0</v>
      </c>
      <c r="E2">
        <v>425</v>
      </c>
      <c r="F2">
        <v>38</v>
      </c>
      <c r="G2">
        <v>3</v>
      </c>
      <c r="H2">
        <v>1</v>
      </c>
      <c r="I2">
        <v>-0.1</v>
      </c>
      <c r="K2" t="s">
        <v>11</v>
      </c>
      <c r="L2" s="2">
        <v>32</v>
      </c>
      <c r="M2">
        <v>0</v>
      </c>
      <c r="N2" t="s">
        <v>28</v>
      </c>
      <c r="O2" t="s">
        <v>29</v>
      </c>
    </row>
    <row r="3" spans="1:15" x14ac:dyDescent="0.35">
      <c r="B3" t="s">
        <v>47</v>
      </c>
      <c r="C3">
        <v>12</v>
      </c>
      <c r="N3" t="s">
        <v>48</v>
      </c>
    </row>
    <row r="16" spans="1:15" x14ac:dyDescent="0.35">
      <c r="M16">
        <v>68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2E6F5-598B-40CC-9FEF-7D16D6919C98}">
  <sheetPr>
    <tabColor rgb="FFFFFF00"/>
  </sheetPr>
  <dimension ref="A1:O30"/>
  <sheetViews>
    <sheetView topLeftCell="A11" zoomScale="90" zoomScaleNormal="90" workbookViewId="0">
      <selection activeCell="D14" sqref="D14"/>
    </sheetView>
  </sheetViews>
  <sheetFormatPr defaultRowHeight="14.5" x14ac:dyDescent="0.35"/>
  <cols>
    <col min="1" max="1" width="9.36328125" bestFit="1" customWidth="1"/>
    <col min="2" max="2" width="10.81640625" bestFit="1" customWidth="1"/>
    <col min="3" max="3" width="10.81640625" customWidth="1"/>
    <col min="4" max="4" width="12.90625" bestFit="1" customWidth="1"/>
    <col min="6" max="6" width="9.36328125" bestFit="1" customWidth="1"/>
    <col min="7" max="7" width="9.36328125" customWidth="1"/>
    <col min="9" max="9" width="9.08984375" bestFit="1" customWidth="1"/>
    <col min="10" max="10" width="10.81640625" bestFit="1" customWidth="1"/>
    <col min="11" max="11" width="10.81640625" customWidth="1"/>
    <col min="12" max="12" width="15.453125" bestFit="1" customWidth="1"/>
  </cols>
  <sheetData>
    <row r="1" spans="1:15" ht="15" thickBot="1" x14ac:dyDescent="0.4">
      <c r="D1" t="s">
        <v>254</v>
      </c>
    </row>
    <row r="2" spans="1:15" s="11" customFormat="1" ht="15" thickBot="1" x14ac:dyDescent="0.4">
      <c r="A2" s="12" t="s">
        <v>261</v>
      </c>
      <c r="B2" s="13" t="s">
        <v>262</v>
      </c>
      <c r="C2" s="14" t="s">
        <v>263</v>
      </c>
      <c r="D2" s="16" t="s">
        <v>247</v>
      </c>
      <c r="E2" s="15" t="s">
        <v>249</v>
      </c>
      <c r="F2" s="16" t="s">
        <v>250</v>
      </c>
      <c r="G2" s="15" t="s">
        <v>258</v>
      </c>
      <c r="I2" s="12" t="s">
        <v>261</v>
      </c>
      <c r="J2" s="13" t="s">
        <v>262</v>
      </c>
      <c r="K2" s="14" t="s">
        <v>263</v>
      </c>
      <c r="L2" s="29" t="s">
        <v>247</v>
      </c>
      <c r="M2" s="17" t="s">
        <v>249</v>
      </c>
      <c r="N2" s="17" t="s">
        <v>250</v>
      </c>
      <c r="O2" s="22" t="s">
        <v>258</v>
      </c>
    </row>
    <row r="3" spans="1:15" x14ac:dyDescent="0.35">
      <c r="A3" s="34">
        <v>0.44</v>
      </c>
      <c r="B3" s="35">
        <v>1</v>
      </c>
      <c r="C3" s="36">
        <v>26</v>
      </c>
      <c r="D3" s="46" t="s">
        <v>257</v>
      </c>
      <c r="E3" s="18">
        <v>1479</v>
      </c>
      <c r="F3" s="20">
        <v>1</v>
      </c>
      <c r="G3" s="35">
        <f>E3*F3</f>
        <v>1479</v>
      </c>
      <c r="I3" s="31">
        <v>0.89</v>
      </c>
      <c r="J3" s="32">
        <v>2</v>
      </c>
      <c r="K3" s="33">
        <v>16</v>
      </c>
      <c r="L3" s="50" t="s">
        <v>131</v>
      </c>
      <c r="M3" s="18">
        <v>1479</v>
      </c>
      <c r="N3" s="18">
        <v>1</v>
      </c>
      <c r="O3" s="21">
        <f>M3*N3</f>
        <v>1479</v>
      </c>
    </row>
    <row r="4" spans="1:15" x14ac:dyDescent="0.35">
      <c r="A4" s="34">
        <v>1.02</v>
      </c>
      <c r="B4" s="35">
        <v>1</v>
      </c>
      <c r="C4" s="36">
        <v>26</v>
      </c>
      <c r="D4" s="20" t="s">
        <v>180</v>
      </c>
      <c r="E4" s="18">
        <v>3738</v>
      </c>
      <c r="F4" s="20">
        <v>1</v>
      </c>
      <c r="G4" s="35">
        <f t="shared" ref="G4:G10" si="0">E4*F4</f>
        <v>3738</v>
      </c>
      <c r="I4" s="34">
        <v>0.54</v>
      </c>
      <c r="J4" s="35">
        <v>1</v>
      </c>
      <c r="K4" s="36">
        <v>43</v>
      </c>
      <c r="L4" s="19" t="s">
        <v>255</v>
      </c>
      <c r="M4" s="18">
        <v>743</v>
      </c>
      <c r="N4" s="18">
        <v>1</v>
      </c>
      <c r="O4" s="21">
        <f t="shared" ref="O4:O10" si="1">M4*N4</f>
        <v>743</v>
      </c>
    </row>
    <row r="5" spans="1:15" x14ac:dyDescent="0.35">
      <c r="A5" s="34">
        <v>0.27</v>
      </c>
      <c r="B5" s="35">
        <v>2</v>
      </c>
      <c r="C5" s="36">
        <v>26</v>
      </c>
      <c r="D5" s="46" t="s">
        <v>73</v>
      </c>
      <c r="E5" s="18">
        <v>740</v>
      </c>
      <c r="F5" s="20">
        <v>2</v>
      </c>
      <c r="G5" s="35">
        <f t="shared" si="0"/>
        <v>1480</v>
      </c>
      <c r="I5" s="34">
        <v>0</v>
      </c>
      <c r="J5" s="35">
        <v>2</v>
      </c>
      <c r="K5" s="36">
        <v>9</v>
      </c>
      <c r="L5" s="50" t="s">
        <v>256</v>
      </c>
      <c r="M5" s="18">
        <v>679</v>
      </c>
      <c r="N5" s="18">
        <v>2</v>
      </c>
      <c r="O5" s="21">
        <f t="shared" si="1"/>
        <v>1358</v>
      </c>
    </row>
    <row r="6" spans="1:15" x14ac:dyDescent="0.35">
      <c r="A6" s="34">
        <v>1.31</v>
      </c>
      <c r="B6" s="35">
        <v>1</v>
      </c>
      <c r="C6" s="36">
        <v>23</v>
      </c>
      <c r="D6" s="48" t="s">
        <v>248</v>
      </c>
      <c r="E6" s="18">
        <v>2360</v>
      </c>
      <c r="F6" s="20">
        <v>1</v>
      </c>
      <c r="G6" s="35">
        <f t="shared" si="0"/>
        <v>2360</v>
      </c>
      <c r="I6" s="34">
        <v>0.82</v>
      </c>
      <c r="J6" s="35">
        <v>1</v>
      </c>
      <c r="K6" s="36">
        <v>16</v>
      </c>
      <c r="L6" s="49" t="s">
        <v>61</v>
      </c>
      <c r="M6" s="18">
        <v>580</v>
      </c>
      <c r="N6" s="18">
        <v>1</v>
      </c>
      <c r="O6" s="21">
        <f t="shared" si="1"/>
        <v>580</v>
      </c>
    </row>
    <row r="7" spans="1:15" x14ac:dyDescent="0.35">
      <c r="A7" s="34">
        <v>1.43</v>
      </c>
      <c r="B7" s="35">
        <v>5</v>
      </c>
      <c r="C7" s="36">
        <v>30</v>
      </c>
      <c r="D7" s="20" t="s">
        <v>251</v>
      </c>
      <c r="E7" s="18">
        <v>1888</v>
      </c>
      <c r="F7" s="20">
        <v>1</v>
      </c>
      <c r="G7" s="35">
        <f t="shared" si="0"/>
        <v>1888</v>
      </c>
      <c r="I7" s="34">
        <v>0.14000000000000001</v>
      </c>
      <c r="J7" s="35">
        <v>2</v>
      </c>
      <c r="K7" s="36">
        <v>32</v>
      </c>
      <c r="L7" s="19" t="s">
        <v>200</v>
      </c>
      <c r="M7" s="18">
        <v>715</v>
      </c>
      <c r="N7" s="18">
        <v>1</v>
      </c>
      <c r="O7" s="21">
        <f t="shared" si="1"/>
        <v>715</v>
      </c>
    </row>
    <row r="8" spans="1:15" x14ac:dyDescent="0.35">
      <c r="A8" s="34">
        <v>0.16</v>
      </c>
      <c r="B8" s="35">
        <v>1</v>
      </c>
      <c r="C8" s="36">
        <v>50</v>
      </c>
      <c r="D8" s="20" t="s">
        <v>188</v>
      </c>
      <c r="E8" s="18">
        <v>2522</v>
      </c>
      <c r="F8" s="20">
        <v>1</v>
      </c>
      <c r="G8" s="35">
        <f t="shared" si="0"/>
        <v>2522</v>
      </c>
      <c r="I8" s="34">
        <v>0</v>
      </c>
      <c r="J8" s="35">
        <v>10</v>
      </c>
      <c r="K8" s="36">
        <v>44</v>
      </c>
      <c r="L8" s="49" t="s">
        <v>64</v>
      </c>
      <c r="M8" s="18">
        <v>4671</v>
      </c>
      <c r="N8" s="18">
        <v>1</v>
      </c>
      <c r="O8" s="21">
        <f t="shared" si="1"/>
        <v>4671</v>
      </c>
    </row>
    <row r="9" spans="1:15" x14ac:dyDescent="0.35">
      <c r="A9" s="34">
        <v>1.67</v>
      </c>
      <c r="B9" s="35">
        <v>2</v>
      </c>
      <c r="C9" s="36">
        <v>26</v>
      </c>
      <c r="D9" s="20" t="s">
        <v>252</v>
      </c>
      <c r="E9" s="18">
        <v>1319</v>
      </c>
      <c r="F9" s="20">
        <v>1</v>
      </c>
      <c r="G9" s="18">
        <f t="shared" si="0"/>
        <v>1319</v>
      </c>
      <c r="I9" s="34">
        <v>0.52</v>
      </c>
      <c r="J9" s="35">
        <v>10</v>
      </c>
      <c r="K9" s="36">
        <v>56</v>
      </c>
      <c r="L9" s="19" t="s">
        <v>259</v>
      </c>
      <c r="M9" s="18">
        <v>4780</v>
      </c>
      <c r="N9" s="18">
        <v>1</v>
      </c>
      <c r="O9" s="21">
        <f t="shared" si="1"/>
        <v>4780</v>
      </c>
    </row>
    <row r="10" spans="1:15" ht="15" thickBot="1" x14ac:dyDescent="0.4">
      <c r="A10" s="37">
        <v>0.87</v>
      </c>
      <c r="B10" s="38">
        <v>1</v>
      </c>
      <c r="C10" s="39">
        <v>14</v>
      </c>
      <c r="D10" s="47" t="s">
        <v>253</v>
      </c>
      <c r="E10" s="18">
        <v>460</v>
      </c>
      <c r="F10" s="20">
        <v>1</v>
      </c>
      <c r="G10" s="30">
        <f t="shared" si="0"/>
        <v>460</v>
      </c>
      <c r="I10" s="37">
        <v>0.66</v>
      </c>
      <c r="J10" s="38">
        <v>1</v>
      </c>
      <c r="K10" s="39">
        <v>3</v>
      </c>
      <c r="L10" s="19" t="s">
        <v>260</v>
      </c>
      <c r="M10" s="18">
        <v>2592</v>
      </c>
      <c r="N10" s="18">
        <v>1</v>
      </c>
      <c r="O10" s="21">
        <f t="shared" si="1"/>
        <v>2592</v>
      </c>
    </row>
    <row r="11" spans="1:15" ht="15" thickBot="1" x14ac:dyDescent="0.4">
      <c r="A11" s="40"/>
      <c r="B11" s="41"/>
      <c r="C11" s="42"/>
      <c r="D11" s="43">
        <f>COUNTA(D3:D10)</f>
        <v>8</v>
      </c>
      <c r="E11" s="44">
        <f>SUM(E3:E10)</f>
        <v>14506</v>
      </c>
      <c r="F11" s="43">
        <f t="shared" ref="F11:G11" si="2">SUM(F3:F10)</f>
        <v>9</v>
      </c>
      <c r="G11" s="44">
        <f t="shared" si="2"/>
        <v>15246</v>
      </c>
      <c r="I11" s="40"/>
      <c r="J11" s="41"/>
      <c r="K11" s="42"/>
      <c r="L11" s="45">
        <f>COUNTA(L3:L10)</f>
        <v>8</v>
      </c>
      <c r="M11" s="44">
        <f>SUM(M3:M10)</f>
        <v>16239</v>
      </c>
      <c r="N11" s="43">
        <f t="shared" ref="N11" si="3">SUM(N3:N10)</f>
        <v>9</v>
      </c>
      <c r="O11" s="44">
        <f t="shared" ref="O11" si="4">SUM(O3:O10)</f>
        <v>16918</v>
      </c>
    </row>
    <row r="12" spans="1:15" ht="15" thickBot="1" x14ac:dyDescent="0.4"/>
    <row r="13" spans="1:15" ht="15" thickBot="1" x14ac:dyDescent="0.4">
      <c r="A13" s="59" t="s">
        <v>261</v>
      </c>
      <c r="B13" s="60" t="s">
        <v>262</v>
      </c>
      <c r="C13" s="61" t="s">
        <v>263</v>
      </c>
      <c r="D13" s="62" t="s">
        <v>247</v>
      </c>
      <c r="E13" s="63" t="s">
        <v>249</v>
      </c>
      <c r="F13" s="62" t="s">
        <v>250</v>
      </c>
      <c r="G13" s="63" t="s">
        <v>258</v>
      </c>
      <c r="I13" s="59" t="s">
        <v>261</v>
      </c>
      <c r="J13" s="60" t="s">
        <v>262</v>
      </c>
      <c r="K13" s="61" t="s">
        <v>263</v>
      </c>
      <c r="L13" s="62" t="s">
        <v>247</v>
      </c>
      <c r="M13" s="63" t="s">
        <v>249</v>
      </c>
      <c r="N13" s="62" t="s">
        <v>250</v>
      </c>
      <c r="O13" s="63" t="s">
        <v>258</v>
      </c>
    </row>
    <row r="14" spans="1:15" x14ac:dyDescent="0.35">
      <c r="A14" s="70">
        <v>0.38</v>
      </c>
      <c r="B14" s="71">
        <v>2</v>
      </c>
      <c r="C14" s="87">
        <v>22</v>
      </c>
      <c r="D14" s="81" t="s">
        <v>266</v>
      </c>
      <c r="E14" s="79">
        <v>1496</v>
      </c>
      <c r="F14" s="72">
        <v>50</v>
      </c>
      <c r="G14" s="73">
        <f>E14*F14</f>
        <v>74800</v>
      </c>
      <c r="I14" s="70">
        <v>0.44</v>
      </c>
      <c r="J14" s="71">
        <v>1</v>
      </c>
      <c r="K14" s="71">
        <v>26</v>
      </c>
      <c r="L14" s="90" t="s">
        <v>57</v>
      </c>
      <c r="M14" s="79">
        <v>220</v>
      </c>
      <c r="N14" s="72">
        <v>50</v>
      </c>
      <c r="O14" s="73">
        <f>M14*N14</f>
        <v>11000</v>
      </c>
    </row>
    <row r="15" spans="1:15" x14ac:dyDescent="0.35">
      <c r="A15" s="74">
        <v>0.38</v>
      </c>
      <c r="B15" s="69">
        <v>2</v>
      </c>
      <c r="C15" s="98">
        <v>22</v>
      </c>
      <c r="D15" s="82" t="s">
        <v>265</v>
      </c>
      <c r="E15" s="24">
        <v>520</v>
      </c>
      <c r="F15" s="23">
        <v>100</v>
      </c>
      <c r="G15" s="25">
        <f t="shared" ref="G15:G27" si="5">E15*F15</f>
        <v>52000</v>
      </c>
      <c r="I15" s="74">
        <v>11.6</v>
      </c>
      <c r="J15" s="69">
        <v>10</v>
      </c>
      <c r="K15" s="69">
        <v>3</v>
      </c>
      <c r="L15" s="91" t="s">
        <v>196</v>
      </c>
      <c r="M15" s="24">
        <v>888</v>
      </c>
      <c r="N15" s="23">
        <v>50</v>
      </c>
      <c r="O15" s="25">
        <f t="shared" ref="O15:O29" si="6">M15*N15</f>
        <v>44400</v>
      </c>
    </row>
    <row r="16" spans="1:15" x14ac:dyDescent="0.35">
      <c r="A16" s="74">
        <v>0.44</v>
      </c>
      <c r="B16" s="69">
        <v>1</v>
      </c>
      <c r="C16" s="98">
        <v>26</v>
      </c>
      <c r="D16" s="83" t="s">
        <v>257</v>
      </c>
      <c r="E16" s="24">
        <v>1479</v>
      </c>
      <c r="F16" s="23">
        <v>50</v>
      </c>
      <c r="G16" s="25">
        <f t="shared" si="5"/>
        <v>73950</v>
      </c>
      <c r="I16" s="74">
        <v>2.31</v>
      </c>
      <c r="J16" s="69">
        <v>10</v>
      </c>
      <c r="K16" s="77">
        <v>30</v>
      </c>
      <c r="L16" s="91" t="s">
        <v>63</v>
      </c>
      <c r="M16" s="24">
        <v>2398</v>
      </c>
      <c r="N16" s="23">
        <v>50</v>
      </c>
      <c r="O16" s="25">
        <f t="shared" si="6"/>
        <v>119900</v>
      </c>
    </row>
    <row r="17" spans="1:15" x14ac:dyDescent="0.35">
      <c r="A17" s="74">
        <v>0.89</v>
      </c>
      <c r="B17" s="69">
        <v>2</v>
      </c>
      <c r="C17" s="98">
        <v>16</v>
      </c>
      <c r="D17" s="83" t="s">
        <v>131</v>
      </c>
      <c r="E17" s="80">
        <v>2586</v>
      </c>
      <c r="F17" s="69">
        <v>30</v>
      </c>
      <c r="G17" s="25">
        <f t="shared" si="5"/>
        <v>77580</v>
      </c>
      <c r="I17" s="74">
        <v>0.84</v>
      </c>
      <c r="J17" s="69">
        <v>1</v>
      </c>
      <c r="K17" s="69">
        <v>15</v>
      </c>
      <c r="L17" s="91" t="s">
        <v>264</v>
      </c>
      <c r="M17" s="24">
        <v>3591</v>
      </c>
      <c r="N17" s="23">
        <v>30</v>
      </c>
      <c r="O17" s="25">
        <f t="shared" si="6"/>
        <v>107730</v>
      </c>
    </row>
    <row r="18" spans="1:15" x14ac:dyDescent="0.35">
      <c r="A18" s="74">
        <v>2.25</v>
      </c>
      <c r="B18" s="69">
        <v>10</v>
      </c>
      <c r="C18" s="98">
        <v>23</v>
      </c>
      <c r="D18" s="55" t="s">
        <v>182</v>
      </c>
      <c r="E18" s="74">
        <v>1101</v>
      </c>
      <c r="F18" s="69">
        <v>40</v>
      </c>
      <c r="G18" s="25">
        <f t="shared" si="5"/>
        <v>44040</v>
      </c>
      <c r="I18" s="74">
        <v>0.84</v>
      </c>
      <c r="J18" s="69">
        <v>1</v>
      </c>
      <c r="K18" s="77">
        <v>15</v>
      </c>
      <c r="L18" s="78" t="s">
        <v>61</v>
      </c>
      <c r="M18" s="24">
        <v>352</v>
      </c>
      <c r="N18" s="23">
        <v>50</v>
      </c>
      <c r="O18" s="25">
        <f t="shared" si="6"/>
        <v>17600</v>
      </c>
    </row>
    <row r="19" spans="1:15" x14ac:dyDescent="0.35">
      <c r="A19" s="74">
        <v>0.68</v>
      </c>
      <c r="B19" s="69">
        <v>10</v>
      </c>
      <c r="C19" s="98">
        <v>8</v>
      </c>
      <c r="D19" s="55" t="s">
        <v>183</v>
      </c>
      <c r="E19" s="74">
        <v>721</v>
      </c>
      <c r="F19" s="69">
        <v>50</v>
      </c>
      <c r="G19" s="25">
        <f t="shared" si="5"/>
        <v>36050</v>
      </c>
      <c r="I19" s="74">
        <v>1.99</v>
      </c>
      <c r="J19" s="69">
        <v>10</v>
      </c>
      <c r="K19" s="77">
        <v>25</v>
      </c>
      <c r="L19" s="92" t="s">
        <v>246</v>
      </c>
      <c r="M19" s="99">
        <v>563.5</v>
      </c>
      <c r="N19" s="23">
        <v>10</v>
      </c>
      <c r="O19" s="25">
        <f t="shared" si="6"/>
        <v>5635</v>
      </c>
    </row>
    <row r="20" spans="1:15" x14ac:dyDescent="0.35">
      <c r="A20" s="74">
        <v>11.6</v>
      </c>
      <c r="B20" s="69">
        <v>10</v>
      </c>
      <c r="C20" s="98">
        <v>3</v>
      </c>
      <c r="D20" s="55" t="s">
        <v>214</v>
      </c>
      <c r="E20" s="24">
        <v>385</v>
      </c>
      <c r="F20" s="23">
        <v>50</v>
      </c>
      <c r="G20" s="25">
        <f t="shared" si="5"/>
        <v>19250</v>
      </c>
      <c r="I20" s="74">
        <v>0.16</v>
      </c>
      <c r="J20" s="69">
        <v>1</v>
      </c>
      <c r="K20" s="69">
        <v>50</v>
      </c>
      <c r="L20" s="92" t="s">
        <v>76</v>
      </c>
      <c r="M20" s="24">
        <v>2522</v>
      </c>
      <c r="N20" s="23">
        <v>30</v>
      </c>
      <c r="O20" s="25">
        <f t="shared" si="6"/>
        <v>75660</v>
      </c>
    </row>
    <row r="21" spans="1:15" x14ac:dyDescent="0.35">
      <c r="A21" s="74">
        <v>2.31</v>
      </c>
      <c r="B21" s="69">
        <v>10</v>
      </c>
      <c r="C21" s="98">
        <v>30</v>
      </c>
      <c r="D21" s="84" t="s">
        <v>220</v>
      </c>
      <c r="E21" s="24">
        <v>740</v>
      </c>
      <c r="F21" s="23">
        <v>50</v>
      </c>
      <c r="G21" s="25">
        <f t="shared" si="5"/>
        <v>37000</v>
      </c>
      <c r="I21" s="74">
        <v>1.99</v>
      </c>
      <c r="J21" s="69">
        <v>10</v>
      </c>
      <c r="K21" s="69">
        <v>25</v>
      </c>
      <c r="L21" s="92" t="s">
        <v>63</v>
      </c>
      <c r="M21" s="24">
        <v>2398</v>
      </c>
      <c r="N21" s="23">
        <v>50</v>
      </c>
      <c r="O21" s="25">
        <f t="shared" si="6"/>
        <v>119900</v>
      </c>
    </row>
    <row r="22" spans="1:15" x14ac:dyDescent="0.35">
      <c r="A22" s="74">
        <v>0.16</v>
      </c>
      <c r="B22" s="69">
        <v>1</v>
      </c>
      <c r="C22" s="88">
        <v>50</v>
      </c>
      <c r="D22" s="55" t="s">
        <v>188</v>
      </c>
      <c r="E22" s="24">
        <v>2522</v>
      </c>
      <c r="F22" s="23">
        <v>20</v>
      </c>
      <c r="G22" s="25">
        <f t="shared" si="5"/>
        <v>50440</v>
      </c>
      <c r="I22" s="74">
        <v>0.37</v>
      </c>
      <c r="J22" s="69">
        <v>2</v>
      </c>
      <c r="K22" s="77">
        <v>41</v>
      </c>
      <c r="L22" s="93" t="s">
        <v>143</v>
      </c>
      <c r="M22" s="99">
        <v>518.79999999999995</v>
      </c>
      <c r="N22" s="23">
        <v>10</v>
      </c>
      <c r="O22" s="25">
        <f t="shared" si="6"/>
        <v>5188</v>
      </c>
    </row>
    <row r="23" spans="1:15" x14ac:dyDescent="0.35">
      <c r="A23" s="74">
        <v>0.16</v>
      </c>
      <c r="B23" s="69">
        <v>10</v>
      </c>
      <c r="C23" s="88">
        <v>50</v>
      </c>
      <c r="D23" s="85" t="s">
        <v>86</v>
      </c>
      <c r="E23" s="24">
        <v>581</v>
      </c>
      <c r="F23" s="23">
        <v>20</v>
      </c>
      <c r="G23" s="25">
        <f t="shared" si="5"/>
        <v>11620</v>
      </c>
      <c r="I23" s="74">
        <v>0.35</v>
      </c>
      <c r="J23" s="69">
        <v>10</v>
      </c>
      <c r="K23" s="77">
        <v>13</v>
      </c>
      <c r="L23" s="93" t="s">
        <v>93</v>
      </c>
      <c r="M23" s="24">
        <v>564</v>
      </c>
      <c r="N23" s="23">
        <v>50</v>
      </c>
      <c r="O23" s="25">
        <f t="shared" si="6"/>
        <v>28200</v>
      </c>
    </row>
    <row r="24" spans="1:15" x14ac:dyDescent="0.35">
      <c r="A24" s="74">
        <v>0.37</v>
      </c>
      <c r="B24" s="69">
        <v>10</v>
      </c>
      <c r="C24" s="88">
        <v>33</v>
      </c>
      <c r="D24" s="85" t="s">
        <v>83</v>
      </c>
      <c r="E24" s="24">
        <v>908</v>
      </c>
      <c r="F24" s="23">
        <v>10</v>
      </c>
      <c r="G24" s="25">
        <f t="shared" si="5"/>
        <v>9080</v>
      </c>
      <c r="I24" s="74">
        <v>0.53</v>
      </c>
      <c r="J24" s="69">
        <v>2</v>
      </c>
      <c r="K24" s="69">
        <v>11</v>
      </c>
      <c r="L24" s="93" t="s">
        <v>14</v>
      </c>
      <c r="M24" s="24">
        <v>944</v>
      </c>
      <c r="N24" s="69">
        <v>50</v>
      </c>
      <c r="O24" s="25">
        <f t="shared" si="6"/>
        <v>47200</v>
      </c>
    </row>
    <row r="25" spans="1:15" x14ac:dyDescent="0.35">
      <c r="A25" s="74">
        <v>4.41</v>
      </c>
      <c r="B25" s="69">
        <v>10</v>
      </c>
      <c r="C25" s="98">
        <v>4</v>
      </c>
      <c r="D25" s="85" t="s">
        <v>81</v>
      </c>
      <c r="E25" s="24">
        <v>3176</v>
      </c>
      <c r="F25" s="23">
        <v>50</v>
      </c>
      <c r="G25" s="25">
        <f t="shared" si="5"/>
        <v>158800</v>
      </c>
      <c r="I25" s="74">
        <v>0.45</v>
      </c>
      <c r="J25" s="69">
        <v>1</v>
      </c>
      <c r="K25" s="69">
        <v>25</v>
      </c>
      <c r="L25" s="93" t="s">
        <v>276</v>
      </c>
      <c r="M25" s="24">
        <v>336</v>
      </c>
      <c r="N25" s="69">
        <v>100</v>
      </c>
      <c r="O25" s="25">
        <f t="shared" si="6"/>
        <v>33600</v>
      </c>
    </row>
    <row r="26" spans="1:15" x14ac:dyDescent="0.35">
      <c r="A26" s="74">
        <v>0.43</v>
      </c>
      <c r="B26" s="69">
        <v>10</v>
      </c>
      <c r="C26" s="88">
        <v>52</v>
      </c>
      <c r="D26" s="85" t="s">
        <v>85</v>
      </c>
      <c r="E26" s="24">
        <v>5529</v>
      </c>
      <c r="F26" s="23">
        <v>20</v>
      </c>
      <c r="G26" s="25">
        <f t="shared" si="5"/>
        <v>110580</v>
      </c>
      <c r="I26" s="74">
        <v>0.35</v>
      </c>
      <c r="J26" s="69">
        <v>10</v>
      </c>
      <c r="K26" s="69">
        <v>13</v>
      </c>
      <c r="L26" s="93" t="s">
        <v>15</v>
      </c>
      <c r="M26" s="24">
        <v>846</v>
      </c>
      <c r="N26" s="69">
        <v>50</v>
      </c>
      <c r="O26" s="25">
        <f t="shared" si="6"/>
        <v>42300</v>
      </c>
    </row>
    <row r="27" spans="1:15" ht="15" thickBot="1" x14ac:dyDescent="0.4">
      <c r="A27" s="75">
        <v>0.56999999999999995</v>
      </c>
      <c r="B27" s="76">
        <v>1</v>
      </c>
      <c r="C27" s="89">
        <v>11</v>
      </c>
      <c r="D27" s="86" t="s">
        <v>82</v>
      </c>
      <c r="E27" s="26">
        <v>611</v>
      </c>
      <c r="F27" s="27">
        <v>50</v>
      </c>
      <c r="G27" s="28">
        <f t="shared" si="5"/>
        <v>30550</v>
      </c>
      <c r="I27" s="74">
        <v>0.89</v>
      </c>
      <c r="J27" s="69">
        <v>1</v>
      </c>
      <c r="K27" s="69">
        <v>6</v>
      </c>
      <c r="L27" s="93" t="s">
        <v>272</v>
      </c>
      <c r="M27" s="74">
        <v>3278</v>
      </c>
      <c r="N27" s="69">
        <v>30</v>
      </c>
      <c r="O27" s="25">
        <f t="shared" si="6"/>
        <v>98340</v>
      </c>
    </row>
    <row r="28" spans="1:15" ht="15" thickBot="1" x14ac:dyDescent="0.4">
      <c r="A28" s="64"/>
      <c r="B28" s="65"/>
      <c r="C28" s="66"/>
      <c r="D28" s="67">
        <f>COUNTA(D14:D27)</f>
        <v>14</v>
      </c>
      <c r="E28" s="68">
        <f>SUM(E14:E27)</f>
        <v>22355</v>
      </c>
      <c r="F28" s="67">
        <f>SUM(F14:F27)</f>
        <v>590</v>
      </c>
      <c r="G28" s="68">
        <f>SUM(G14:G27)</f>
        <v>785740</v>
      </c>
      <c r="I28" s="74">
        <v>0.56000000000000005</v>
      </c>
      <c r="J28" s="69">
        <v>10</v>
      </c>
      <c r="K28" s="69">
        <v>40</v>
      </c>
      <c r="L28" s="93" t="s">
        <v>90</v>
      </c>
      <c r="M28" s="74">
        <v>3564</v>
      </c>
      <c r="N28" s="69">
        <v>30</v>
      </c>
      <c r="O28" s="25">
        <f t="shared" si="6"/>
        <v>106920</v>
      </c>
    </row>
    <row r="29" spans="1:15" ht="15" thickBot="1" x14ac:dyDescent="0.4">
      <c r="E29" t="s">
        <v>316</v>
      </c>
      <c r="I29" s="75">
        <v>0</v>
      </c>
      <c r="J29" s="76">
        <v>1</v>
      </c>
      <c r="K29" s="76">
        <v>62</v>
      </c>
      <c r="L29" s="93" t="s">
        <v>91</v>
      </c>
      <c r="M29" s="75">
        <v>3875</v>
      </c>
      <c r="N29" s="76">
        <v>30</v>
      </c>
      <c r="O29" s="28">
        <f t="shared" si="6"/>
        <v>116250</v>
      </c>
    </row>
    <row r="30" spans="1:15" ht="15" thickBot="1" x14ac:dyDescent="0.4">
      <c r="I30" s="64"/>
      <c r="J30" s="65"/>
      <c r="K30" s="66"/>
      <c r="L30" s="67">
        <f>COUNTA(L14:L26)</f>
        <v>13</v>
      </c>
      <c r="M30" s="68">
        <f>SUM(M14:M29)</f>
        <v>26858.3</v>
      </c>
      <c r="N30" s="68">
        <f>SUM(N14:N29)</f>
        <v>670</v>
      </c>
      <c r="O30" s="68">
        <f>SUM(O14:O29)</f>
        <v>979823</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7B98B-6B9F-43BF-B29A-FF66C52E9BB0}">
  <sheetPr>
    <tabColor rgb="FFFF0000"/>
  </sheetPr>
  <dimension ref="A1:U42"/>
  <sheetViews>
    <sheetView topLeftCell="B1" workbookViewId="0">
      <pane ySplit="1" topLeftCell="A9" activePane="bottomLeft" state="frozen"/>
      <selection activeCell="B1" sqref="B1"/>
      <selection pane="bottomLeft" activeCell="D20" sqref="D20:F20"/>
    </sheetView>
  </sheetViews>
  <sheetFormatPr defaultRowHeight="14.5" x14ac:dyDescent="0.35"/>
  <cols>
    <col min="1" max="1" width="14.26953125" bestFit="1" customWidth="1"/>
    <col min="3" max="3" width="10.08984375" bestFit="1" customWidth="1"/>
    <col min="4" max="4" width="13.54296875" bestFit="1" customWidth="1"/>
    <col min="7" max="7" width="6" bestFit="1" customWidth="1"/>
    <col min="20" max="20" width="10.08984375" bestFit="1" customWidth="1"/>
    <col min="21" max="21" width="16" bestFit="1" customWidth="1"/>
  </cols>
  <sheetData>
    <row r="1" spans="1:21" s="3" customFormat="1" x14ac:dyDescent="0.35">
      <c r="B1" s="3" t="s">
        <v>227</v>
      </c>
      <c r="C1" s="3" t="s">
        <v>38</v>
      </c>
      <c r="D1" s="3" t="s">
        <v>31</v>
      </c>
      <c r="E1" s="3" t="s">
        <v>32</v>
      </c>
      <c r="F1" s="3" t="s">
        <v>30</v>
      </c>
      <c r="G1" s="3" t="s">
        <v>3</v>
      </c>
      <c r="H1" s="3" t="s">
        <v>4</v>
      </c>
      <c r="I1" s="3" t="s">
        <v>5</v>
      </c>
      <c r="J1" s="3" t="s">
        <v>6</v>
      </c>
      <c r="K1" s="3" t="s">
        <v>7</v>
      </c>
      <c r="L1" s="3" t="s">
        <v>17</v>
      </c>
      <c r="M1" s="3" t="s">
        <v>19</v>
      </c>
      <c r="N1" s="3" t="s">
        <v>8</v>
      </c>
      <c r="O1" s="3" t="s">
        <v>10</v>
      </c>
      <c r="P1" s="3" t="s">
        <v>24</v>
      </c>
      <c r="Q1" s="3" t="s">
        <v>293</v>
      </c>
      <c r="R1" s="3" t="s">
        <v>292</v>
      </c>
    </row>
    <row r="2" spans="1:21" x14ac:dyDescent="0.35">
      <c r="A2" s="53" t="s">
        <v>305</v>
      </c>
      <c r="B2">
        <v>1</v>
      </c>
      <c r="C2" s="7">
        <v>44564</v>
      </c>
      <c r="D2" s="95" t="s">
        <v>138</v>
      </c>
      <c r="E2" s="53">
        <v>7.48</v>
      </c>
      <c r="F2" t="s">
        <v>308</v>
      </c>
      <c r="G2">
        <v>0.28999999999999998</v>
      </c>
      <c r="H2">
        <v>45.7</v>
      </c>
      <c r="I2">
        <v>42.5</v>
      </c>
      <c r="J2">
        <v>15</v>
      </c>
      <c r="K2">
        <v>10</v>
      </c>
      <c r="L2">
        <v>27</v>
      </c>
      <c r="M2">
        <v>12</v>
      </c>
      <c r="N2" t="s">
        <v>58</v>
      </c>
      <c r="O2" t="s">
        <v>69</v>
      </c>
      <c r="P2">
        <v>0</v>
      </c>
      <c r="Q2">
        <v>6.6</v>
      </c>
      <c r="R2">
        <v>7.6</v>
      </c>
      <c r="S2" t="s">
        <v>295</v>
      </c>
    </row>
    <row r="3" spans="1:21" x14ac:dyDescent="0.35">
      <c r="B3">
        <v>2</v>
      </c>
      <c r="C3" s="7">
        <v>44563</v>
      </c>
      <c r="D3" s="95" t="s">
        <v>126</v>
      </c>
      <c r="E3" s="53">
        <v>22.1</v>
      </c>
      <c r="F3" t="s">
        <v>310</v>
      </c>
      <c r="G3">
        <v>1.1399999999999999</v>
      </c>
      <c r="H3">
        <v>18.2</v>
      </c>
      <c r="I3">
        <v>33.6</v>
      </c>
      <c r="J3">
        <v>23</v>
      </c>
      <c r="K3">
        <v>2</v>
      </c>
      <c r="L3">
        <v>24.6</v>
      </c>
      <c r="M3">
        <v>-10</v>
      </c>
      <c r="N3" t="s">
        <v>69</v>
      </c>
      <c r="O3" t="s">
        <v>58</v>
      </c>
      <c r="P3">
        <v>0</v>
      </c>
      <c r="Q3">
        <v>21.5</v>
      </c>
      <c r="R3">
        <v>22.4</v>
      </c>
      <c r="S3" t="s">
        <v>295</v>
      </c>
      <c r="T3" s="7">
        <v>44564</v>
      </c>
      <c r="U3" t="s">
        <v>296</v>
      </c>
    </row>
    <row r="4" spans="1:21" x14ac:dyDescent="0.35">
      <c r="A4" s="53" t="s">
        <v>305</v>
      </c>
      <c r="B4">
        <v>3</v>
      </c>
      <c r="C4" s="7">
        <v>44564</v>
      </c>
      <c r="D4" s="95" t="s">
        <v>306</v>
      </c>
      <c r="E4">
        <v>25.8</v>
      </c>
      <c r="F4" t="s">
        <v>311</v>
      </c>
      <c r="G4">
        <v>-1.44</v>
      </c>
      <c r="I4">
        <v>13</v>
      </c>
      <c r="J4">
        <v>-36</v>
      </c>
      <c r="K4">
        <v>1</v>
      </c>
      <c r="L4">
        <v>8</v>
      </c>
      <c r="M4">
        <v>49</v>
      </c>
      <c r="N4" t="s">
        <v>69</v>
      </c>
      <c r="O4" t="s">
        <v>58</v>
      </c>
      <c r="P4">
        <v>0</v>
      </c>
      <c r="Q4">
        <v>202</v>
      </c>
      <c r="R4">
        <v>209</v>
      </c>
    </row>
    <row r="5" spans="1:21" x14ac:dyDescent="0.35">
      <c r="A5" s="53" t="s">
        <v>305</v>
      </c>
      <c r="B5" t="s">
        <v>333</v>
      </c>
      <c r="C5" s="7">
        <v>44564</v>
      </c>
      <c r="D5" s="95" t="s">
        <v>194</v>
      </c>
      <c r="E5" s="53">
        <v>44.7</v>
      </c>
      <c r="F5" t="s">
        <v>312</v>
      </c>
      <c r="G5">
        <v>6.95</v>
      </c>
      <c r="H5">
        <v>6.53</v>
      </c>
      <c r="I5">
        <v>9.68</v>
      </c>
      <c r="J5">
        <v>94.6</v>
      </c>
      <c r="K5">
        <v>10</v>
      </c>
      <c r="L5">
        <v>43</v>
      </c>
      <c r="M5">
        <v>-19</v>
      </c>
      <c r="N5" t="s">
        <v>69</v>
      </c>
      <c r="O5" t="s">
        <v>58</v>
      </c>
      <c r="P5">
        <v>0</v>
      </c>
      <c r="Q5">
        <v>43.45</v>
      </c>
      <c r="R5">
        <v>44.7</v>
      </c>
    </row>
    <row r="6" spans="1:21" x14ac:dyDescent="0.35">
      <c r="B6" t="s">
        <v>333</v>
      </c>
      <c r="C6" s="7">
        <v>44563</v>
      </c>
      <c r="D6" t="s">
        <v>193</v>
      </c>
      <c r="E6">
        <v>46.2</v>
      </c>
      <c r="F6" t="s">
        <v>310</v>
      </c>
      <c r="G6">
        <v>3.62</v>
      </c>
      <c r="H6">
        <v>12.8</v>
      </c>
      <c r="I6">
        <v>33.6</v>
      </c>
      <c r="J6">
        <v>25.9</v>
      </c>
      <c r="K6">
        <v>2</v>
      </c>
      <c r="L6">
        <v>20</v>
      </c>
      <c r="M6">
        <v>4</v>
      </c>
      <c r="N6" t="s">
        <v>58</v>
      </c>
      <c r="O6" t="s">
        <v>58</v>
      </c>
      <c r="P6">
        <v>0</v>
      </c>
      <c r="Q6">
        <v>45.2</v>
      </c>
      <c r="R6">
        <v>47.5</v>
      </c>
    </row>
    <row r="7" spans="1:21" x14ac:dyDescent="0.35">
      <c r="B7" s="95" t="s">
        <v>335</v>
      </c>
      <c r="C7" s="7">
        <v>44563</v>
      </c>
      <c r="D7" t="s">
        <v>301</v>
      </c>
      <c r="E7">
        <v>48</v>
      </c>
      <c r="F7" t="s">
        <v>313</v>
      </c>
      <c r="G7">
        <v>-0.08</v>
      </c>
      <c r="J7">
        <v>10.5</v>
      </c>
      <c r="K7">
        <v>3</v>
      </c>
      <c r="L7">
        <v>1</v>
      </c>
      <c r="M7">
        <v>26</v>
      </c>
      <c r="N7" t="s">
        <v>69</v>
      </c>
      <c r="O7" t="s">
        <v>58</v>
      </c>
      <c r="P7">
        <v>0</v>
      </c>
      <c r="Q7">
        <v>47.65</v>
      </c>
      <c r="R7">
        <v>49.4</v>
      </c>
    </row>
    <row r="8" spans="1:21" x14ac:dyDescent="0.35">
      <c r="A8" s="53" t="s">
        <v>305</v>
      </c>
      <c r="B8" t="s">
        <v>333</v>
      </c>
      <c r="C8" s="7">
        <v>44564</v>
      </c>
      <c r="D8" t="s">
        <v>191</v>
      </c>
      <c r="E8">
        <v>54</v>
      </c>
      <c r="F8" t="s">
        <v>311</v>
      </c>
      <c r="G8">
        <v>1.31</v>
      </c>
      <c r="H8">
        <v>42.4</v>
      </c>
      <c r="I8">
        <v>31.1</v>
      </c>
      <c r="J8">
        <v>7</v>
      </c>
      <c r="K8">
        <v>1</v>
      </c>
      <c r="L8">
        <v>21</v>
      </c>
      <c r="M8">
        <v>55</v>
      </c>
      <c r="N8" t="s">
        <v>58</v>
      </c>
      <c r="O8" t="s">
        <v>58</v>
      </c>
      <c r="P8">
        <v>0.67</v>
      </c>
      <c r="Q8">
        <v>53.4</v>
      </c>
      <c r="R8">
        <v>54.4</v>
      </c>
    </row>
    <row r="9" spans="1:21" x14ac:dyDescent="0.35">
      <c r="B9">
        <v>8</v>
      </c>
      <c r="C9" s="7">
        <v>44563</v>
      </c>
      <c r="D9" t="s">
        <v>302</v>
      </c>
      <c r="E9">
        <v>64.400000000000006</v>
      </c>
      <c r="F9" t="s">
        <v>34</v>
      </c>
      <c r="G9">
        <v>1.96</v>
      </c>
      <c r="H9">
        <v>23.2</v>
      </c>
      <c r="I9">
        <v>14.3</v>
      </c>
      <c r="J9">
        <v>69</v>
      </c>
      <c r="K9">
        <v>10</v>
      </c>
      <c r="L9">
        <v>14.5</v>
      </c>
      <c r="M9">
        <v>-3</v>
      </c>
      <c r="N9" t="s">
        <v>58</v>
      </c>
      <c r="O9" s="97" t="s">
        <v>334</v>
      </c>
      <c r="P9">
        <v>0</v>
      </c>
      <c r="Q9">
        <v>60.5</v>
      </c>
      <c r="R9">
        <v>66.3</v>
      </c>
    </row>
    <row r="10" spans="1:21" x14ac:dyDescent="0.35">
      <c r="A10" s="53" t="s">
        <v>305</v>
      </c>
      <c r="B10">
        <v>9</v>
      </c>
      <c r="C10" s="100">
        <v>44564</v>
      </c>
      <c r="D10" t="s">
        <v>304</v>
      </c>
      <c r="E10">
        <v>65.8</v>
      </c>
      <c r="F10" t="s">
        <v>25</v>
      </c>
      <c r="G10">
        <v>7.74</v>
      </c>
      <c r="H10">
        <v>8.49</v>
      </c>
      <c r="I10">
        <v>37.1</v>
      </c>
      <c r="J10">
        <v>47</v>
      </c>
      <c r="K10">
        <v>5</v>
      </c>
      <c r="L10">
        <v>13</v>
      </c>
      <c r="M10">
        <v>3</v>
      </c>
      <c r="N10" t="s">
        <v>58</v>
      </c>
      <c r="O10" t="s">
        <v>58</v>
      </c>
      <c r="P10">
        <v>0.38</v>
      </c>
      <c r="Q10">
        <v>62.45</v>
      </c>
      <c r="R10">
        <v>69.400000000000006</v>
      </c>
    </row>
    <row r="11" spans="1:21" x14ac:dyDescent="0.35">
      <c r="A11" s="53"/>
      <c r="B11">
        <v>10</v>
      </c>
      <c r="C11" s="100">
        <v>44564</v>
      </c>
      <c r="D11" t="s">
        <v>321</v>
      </c>
      <c r="E11">
        <v>72.900000000000006</v>
      </c>
      <c r="F11" t="s">
        <v>322</v>
      </c>
      <c r="G11">
        <v>6.5</v>
      </c>
      <c r="H11">
        <v>11.2</v>
      </c>
      <c r="I11">
        <v>11.8</v>
      </c>
      <c r="J11">
        <v>33</v>
      </c>
      <c r="K11">
        <v>1</v>
      </c>
      <c r="L11">
        <v>12.7</v>
      </c>
      <c r="M11">
        <v>15</v>
      </c>
      <c r="N11" t="s">
        <v>58</v>
      </c>
      <c r="O11" t="s">
        <v>58</v>
      </c>
      <c r="P11">
        <v>1.71</v>
      </c>
      <c r="S11" t="s">
        <v>305</v>
      </c>
    </row>
    <row r="12" spans="1:21" x14ac:dyDescent="0.35">
      <c r="B12">
        <v>11</v>
      </c>
      <c r="C12" s="7">
        <v>44563</v>
      </c>
      <c r="D12" t="s">
        <v>218</v>
      </c>
      <c r="E12" s="53">
        <v>114</v>
      </c>
      <c r="F12" t="s">
        <v>314</v>
      </c>
      <c r="G12">
        <v>27.3</v>
      </c>
      <c r="H12">
        <v>4.1399999999999997</v>
      </c>
      <c r="I12">
        <v>5.15</v>
      </c>
      <c r="J12">
        <v>136</v>
      </c>
      <c r="K12">
        <v>10</v>
      </c>
      <c r="L12">
        <v>10</v>
      </c>
      <c r="M12">
        <v>-8</v>
      </c>
      <c r="N12" t="s">
        <v>58</v>
      </c>
      <c r="O12" t="s">
        <v>58</v>
      </c>
      <c r="P12">
        <v>10.6</v>
      </c>
      <c r="Q12">
        <v>111.75</v>
      </c>
      <c r="R12">
        <v>113.7</v>
      </c>
    </row>
    <row r="13" spans="1:21" x14ac:dyDescent="0.35">
      <c r="B13" t="s">
        <v>336</v>
      </c>
      <c r="C13" s="7">
        <v>44563</v>
      </c>
      <c r="D13" t="s">
        <v>164</v>
      </c>
      <c r="E13">
        <v>133</v>
      </c>
      <c r="F13" t="s">
        <v>312</v>
      </c>
      <c r="G13">
        <v>-3.44</v>
      </c>
      <c r="I13">
        <v>17.899999999999999</v>
      </c>
      <c r="J13">
        <v>211</v>
      </c>
      <c r="K13">
        <v>10</v>
      </c>
      <c r="L13">
        <v>18.399999999999999</v>
      </c>
      <c r="M13">
        <v>-17</v>
      </c>
      <c r="N13" t="s">
        <v>69</v>
      </c>
      <c r="O13" t="s">
        <v>69</v>
      </c>
      <c r="P13">
        <v>0</v>
      </c>
      <c r="Q13">
        <v>126.9</v>
      </c>
      <c r="R13">
        <v>136.19999999999999</v>
      </c>
      <c r="S13" t="s">
        <v>295</v>
      </c>
      <c r="T13" s="7">
        <v>44564</v>
      </c>
    </row>
    <row r="14" spans="1:21" x14ac:dyDescent="0.35">
      <c r="A14" s="53" t="s">
        <v>305</v>
      </c>
      <c r="B14">
        <v>13</v>
      </c>
      <c r="C14" s="100">
        <v>44563</v>
      </c>
      <c r="D14" t="s">
        <v>134</v>
      </c>
      <c r="E14">
        <v>142</v>
      </c>
      <c r="F14" t="s">
        <v>312</v>
      </c>
      <c r="G14">
        <v>39.200000000000003</v>
      </c>
      <c r="H14">
        <v>3.81</v>
      </c>
      <c r="I14">
        <v>9.68</v>
      </c>
      <c r="J14">
        <v>317</v>
      </c>
      <c r="K14">
        <v>10</v>
      </c>
      <c r="L14">
        <v>47.7</v>
      </c>
      <c r="M14">
        <v>-9</v>
      </c>
      <c r="N14" t="s">
        <v>69</v>
      </c>
      <c r="O14" t="s">
        <v>58</v>
      </c>
      <c r="P14">
        <v>1.41</v>
      </c>
      <c r="Q14">
        <v>139.69999999999999</v>
      </c>
      <c r="R14">
        <v>143.69999999999999</v>
      </c>
    </row>
    <row r="15" spans="1:21" x14ac:dyDescent="0.35">
      <c r="A15" s="53"/>
      <c r="B15">
        <v>14</v>
      </c>
      <c r="C15" s="100"/>
      <c r="D15" t="s">
        <v>325</v>
      </c>
      <c r="E15">
        <v>163</v>
      </c>
      <c r="F15" t="s">
        <v>320</v>
      </c>
      <c r="G15">
        <v>14.6</v>
      </c>
      <c r="H15">
        <v>11.2</v>
      </c>
      <c r="I15">
        <v>15.9</v>
      </c>
      <c r="J15">
        <v>69.400000000000006</v>
      </c>
      <c r="K15">
        <v>1</v>
      </c>
      <c r="L15">
        <v>24</v>
      </c>
      <c r="M15">
        <v>5</v>
      </c>
      <c r="N15" t="s">
        <v>58</v>
      </c>
      <c r="O15" t="s">
        <v>69</v>
      </c>
      <c r="P15">
        <v>1.22</v>
      </c>
      <c r="S15" t="s">
        <v>305</v>
      </c>
    </row>
    <row r="16" spans="1:21" x14ac:dyDescent="0.35">
      <c r="B16">
        <v>15</v>
      </c>
      <c r="C16" s="100">
        <v>44563</v>
      </c>
      <c r="D16" t="s">
        <v>291</v>
      </c>
      <c r="E16">
        <v>168</v>
      </c>
      <c r="F16" t="s">
        <v>315</v>
      </c>
      <c r="G16">
        <v>20.8</v>
      </c>
      <c r="H16">
        <v>8.08</v>
      </c>
      <c r="I16">
        <v>26.6</v>
      </c>
      <c r="J16">
        <v>94.1</v>
      </c>
      <c r="K16">
        <v>2</v>
      </c>
      <c r="L16">
        <v>71</v>
      </c>
      <c r="M16">
        <v>19</v>
      </c>
      <c r="N16" t="s">
        <v>58</v>
      </c>
      <c r="O16" t="s">
        <v>69</v>
      </c>
      <c r="P16">
        <v>1.19</v>
      </c>
      <c r="Q16">
        <v>164</v>
      </c>
      <c r="R16">
        <v>172</v>
      </c>
    </row>
    <row r="17" spans="1:19" x14ac:dyDescent="0.35">
      <c r="B17">
        <v>16</v>
      </c>
      <c r="C17" s="100"/>
      <c r="D17" t="s">
        <v>323</v>
      </c>
      <c r="E17">
        <v>178</v>
      </c>
      <c r="F17" t="s">
        <v>324</v>
      </c>
      <c r="G17">
        <v>6.99</v>
      </c>
      <c r="H17">
        <v>25.5</v>
      </c>
      <c r="I17">
        <v>37.799999999999997</v>
      </c>
      <c r="J17">
        <v>70.8</v>
      </c>
      <c r="K17">
        <v>10</v>
      </c>
      <c r="L17">
        <v>13.4</v>
      </c>
      <c r="M17">
        <v>4</v>
      </c>
      <c r="N17" t="s">
        <v>58</v>
      </c>
      <c r="O17" t="s">
        <v>69</v>
      </c>
      <c r="P17">
        <v>0</v>
      </c>
      <c r="S17" t="s">
        <v>305</v>
      </c>
    </row>
    <row r="18" spans="1:19" x14ac:dyDescent="0.35">
      <c r="A18" s="53" t="s">
        <v>305</v>
      </c>
      <c r="B18">
        <v>17</v>
      </c>
      <c r="C18" s="100">
        <v>44564</v>
      </c>
      <c r="D18" t="s">
        <v>122</v>
      </c>
      <c r="E18">
        <v>188</v>
      </c>
      <c r="F18" t="s">
        <v>25</v>
      </c>
      <c r="G18">
        <v>6.28</v>
      </c>
      <c r="H18">
        <v>26.1</v>
      </c>
      <c r="I18">
        <v>37.1</v>
      </c>
      <c r="J18">
        <v>42.6</v>
      </c>
      <c r="K18">
        <v>10</v>
      </c>
      <c r="L18">
        <v>16</v>
      </c>
      <c r="M18">
        <v>37</v>
      </c>
      <c r="N18" t="s">
        <v>58</v>
      </c>
      <c r="O18" t="s">
        <v>58</v>
      </c>
      <c r="P18">
        <v>1.59</v>
      </c>
      <c r="Q18">
        <v>184</v>
      </c>
      <c r="R18">
        <v>192</v>
      </c>
    </row>
    <row r="19" spans="1:19" x14ac:dyDescent="0.35">
      <c r="A19" s="53"/>
      <c r="B19" t="s">
        <v>337</v>
      </c>
      <c r="C19" s="7">
        <v>44565</v>
      </c>
      <c r="D19" t="s">
        <v>332</v>
      </c>
      <c r="E19">
        <v>205</v>
      </c>
      <c r="F19" t="s">
        <v>312</v>
      </c>
      <c r="G19">
        <v>26.6</v>
      </c>
      <c r="H19">
        <v>8.2899999999999991</v>
      </c>
      <c r="I19">
        <v>9.68</v>
      </c>
      <c r="J19">
        <v>344</v>
      </c>
      <c r="K19">
        <v>10</v>
      </c>
      <c r="L19">
        <v>34</v>
      </c>
      <c r="M19">
        <v>-5</v>
      </c>
      <c r="N19" t="s">
        <v>58</v>
      </c>
      <c r="O19" t="s">
        <v>58</v>
      </c>
      <c r="P19">
        <v>0</v>
      </c>
    </row>
    <row r="20" spans="1:19" x14ac:dyDescent="0.35">
      <c r="B20">
        <v>18</v>
      </c>
      <c r="C20" s="7">
        <v>44563</v>
      </c>
      <c r="D20" t="s">
        <v>298</v>
      </c>
      <c r="E20">
        <v>206</v>
      </c>
      <c r="F20" t="s">
        <v>309</v>
      </c>
      <c r="G20">
        <v>25</v>
      </c>
      <c r="H20">
        <v>8.23</v>
      </c>
      <c r="I20">
        <v>14.2</v>
      </c>
      <c r="J20">
        <v>158</v>
      </c>
      <c r="K20">
        <v>10</v>
      </c>
      <c r="L20">
        <v>24</v>
      </c>
      <c r="M20">
        <v>17</v>
      </c>
      <c r="N20" t="s">
        <v>58</v>
      </c>
      <c r="O20" t="s">
        <v>58</v>
      </c>
      <c r="P20">
        <v>1.94</v>
      </c>
    </row>
    <row r="21" spans="1:19" x14ac:dyDescent="0.35">
      <c r="C21" s="7">
        <v>44564</v>
      </c>
      <c r="D21" t="s">
        <v>330</v>
      </c>
      <c r="E21">
        <v>207</v>
      </c>
      <c r="F21" t="s">
        <v>329</v>
      </c>
      <c r="G21">
        <v>15.1</v>
      </c>
      <c r="H21">
        <v>13.8</v>
      </c>
      <c r="I21">
        <v>28.4</v>
      </c>
      <c r="J21">
        <v>55.4</v>
      </c>
      <c r="K21">
        <v>2</v>
      </c>
      <c r="L21">
        <v>29</v>
      </c>
      <c r="M21">
        <v>20</v>
      </c>
      <c r="N21" t="s">
        <v>58</v>
      </c>
      <c r="O21" t="s">
        <v>58</v>
      </c>
      <c r="P21">
        <v>0.96</v>
      </c>
    </row>
    <row r="22" spans="1:19" x14ac:dyDescent="0.35">
      <c r="B22">
        <v>19</v>
      </c>
      <c r="C22" s="7">
        <v>44563</v>
      </c>
      <c r="D22" t="s">
        <v>57</v>
      </c>
      <c r="E22">
        <v>218</v>
      </c>
      <c r="F22" t="s">
        <v>20</v>
      </c>
      <c r="G22">
        <v>11.6</v>
      </c>
      <c r="H22">
        <v>18.899999999999999</v>
      </c>
      <c r="I22">
        <v>16.5</v>
      </c>
      <c r="J22">
        <v>49.4</v>
      </c>
      <c r="K22">
        <v>1</v>
      </c>
      <c r="L22">
        <v>35</v>
      </c>
      <c r="M22">
        <v>-2</v>
      </c>
      <c r="N22" t="s">
        <v>58</v>
      </c>
      <c r="O22" t="s">
        <v>58</v>
      </c>
      <c r="P22">
        <v>4.91</v>
      </c>
      <c r="Q22">
        <v>217</v>
      </c>
      <c r="R22">
        <v>220</v>
      </c>
    </row>
    <row r="23" spans="1:19" x14ac:dyDescent="0.35">
      <c r="B23">
        <v>20</v>
      </c>
      <c r="C23" s="7">
        <v>44563</v>
      </c>
      <c r="D23" t="s">
        <v>299</v>
      </c>
      <c r="E23">
        <v>219</v>
      </c>
      <c r="F23" t="s">
        <v>317</v>
      </c>
      <c r="G23">
        <v>16.3</v>
      </c>
      <c r="H23">
        <v>13.5</v>
      </c>
      <c r="I23">
        <v>14.2</v>
      </c>
      <c r="J23">
        <v>182</v>
      </c>
      <c r="K23">
        <v>1</v>
      </c>
      <c r="L23">
        <v>15</v>
      </c>
      <c r="M23">
        <v>4</v>
      </c>
      <c r="N23" t="s">
        <v>58</v>
      </c>
      <c r="O23" t="s">
        <v>58</v>
      </c>
      <c r="P23">
        <v>1.58</v>
      </c>
      <c r="Q23">
        <v>219</v>
      </c>
      <c r="R23">
        <v>222</v>
      </c>
    </row>
    <row r="24" spans="1:19" x14ac:dyDescent="0.35">
      <c r="B24">
        <v>21</v>
      </c>
      <c r="C24" s="7">
        <v>44563</v>
      </c>
      <c r="D24" t="s">
        <v>300</v>
      </c>
      <c r="E24">
        <v>233</v>
      </c>
      <c r="F24" t="s">
        <v>318</v>
      </c>
      <c r="G24">
        <v>8.24</v>
      </c>
      <c r="H24">
        <v>28.2</v>
      </c>
      <c r="I24">
        <v>29.7</v>
      </c>
      <c r="J24">
        <v>80.900000000000006</v>
      </c>
      <c r="K24">
        <v>10</v>
      </c>
      <c r="L24">
        <v>16.3</v>
      </c>
      <c r="M24">
        <v>26</v>
      </c>
      <c r="N24" t="s">
        <v>58</v>
      </c>
      <c r="O24" t="s">
        <v>58</v>
      </c>
      <c r="P24">
        <v>0.86</v>
      </c>
      <c r="Q24">
        <v>227</v>
      </c>
      <c r="R24">
        <v>237</v>
      </c>
    </row>
    <row r="25" spans="1:19" x14ac:dyDescent="0.35">
      <c r="B25">
        <v>22</v>
      </c>
      <c r="C25" s="7">
        <v>44564</v>
      </c>
      <c r="D25" t="s">
        <v>77</v>
      </c>
      <c r="E25">
        <v>310</v>
      </c>
      <c r="F25" t="s">
        <v>308</v>
      </c>
      <c r="G25">
        <v>4.6900000000000004</v>
      </c>
      <c r="H25">
        <v>66.3</v>
      </c>
      <c r="I25">
        <v>45.4</v>
      </c>
      <c r="J25">
        <v>96</v>
      </c>
      <c r="K25">
        <v>10</v>
      </c>
      <c r="L25">
        <v>41</v>
      </c>
      <c r="M25">
        <v>40</v>
      </c>
      <c r="N25" t="s">
        <v>58</v>
      </c>
      <c r="O25" t="s">
        <v>58</v>
      </c>
      <c r="P25">
        <v>0.65</v>
      </c>
      <c r="Q25" s="57" t="s">
        <v>287</v>
      </c>
      <c r="R25" t="s">
        <v>305</v>
      </c>
    </row>
    <row r="26" spans="1:19" x14ac:dyDescent="0.35">
      <c r="B26">
        <v>23</v>
      </c>
      <c r="C26" s="7">
        <v>44563</v>
      </c>
      <c r="D26" t="s">
        <v>216</v>
      </c>
      <c r="E26">
        <v>320</v>
      </c>
      <c r="F26" t="s">
        <v>319</v>
      </c>
      <c r="G26">
        <v>20.6</v>
      </c>
      <c r="H26">
        <v>15.4</v>
      </c>
      <c r="I26">
        <v>12.4</v>
      </c>
      <c r="J26">
        <v>86</v>
      </c>
      <c r="K26">
        <v>2</v>
      </c>
      <c r="L26">
        <v>54</v>
      </c>
      <c r="M26">
        <v>5</v>
      </c>
      <c r="N26" t="s">
        <v>58</v>
      </c>
      <c r="O26" t="s">
        <v>58</v>
      </c>
      <c r="P26">
        <v>6.66</v>
      </c>
      <c r="Q26">
        <v>317</v>
      </c>
      <c r="R26">
        <v>321</v>
      </c>
    </row>
    <row r="27" spans="1:19" x14ac:dyDescent="0.35">
      <c r="B27">
        <v>24</v>
      </c>
      <c r="C27" s="7">
        <v>44563</v>
      </c>
      <c r="D27" t="s">
        <v>215</v>
      </c>
      <c r="E27">
        <v>387</v>
      </c>
      <c r="F27" t="s">
        <v>320</v>
      </c>
      <c r="G27">
        <v>16.2</v>
      </c>
      <c r="H27">
        <v>23.1</v>
      </c>
      <c r="I27">
        <v>14</v>
      </c>
      <c r="J27">
        <v>123</v>
      </c>
      <c r="K27">
        <v>2</v>
      </c>
      <c r="L27">
        <v>22.3</v>
      </c>
      <c r="M27">
        <v>13</v>
      </c>
      <c r="N27" t="s">
        <v>58</v>
      </c>
      <c r="O27" t="s">
        <v>58</v>
      </c>
      <c r="P27">
        <v>4.6500000000000004</v>
      </c>
      <c r="Q27">
        <v>380</v>
      </c>
      <c r="R27">
        <v>392</v>
      </c>
    </row>
    <row r="28" spans="1:19" x14ac:dyDescent="0.35">
      <c r="B28">
        <v>25</v>
      </c>
      <c r="C28" s="7">
        <v>44563</v>
      </c>
      <c r="D28" t="s">
        <v>214</v>
      </c>
      <c r="E28">
        <v>385</v>
      </c>
      <c r="F28" t="s">
        <v>314</v>
      </c>
      <c r="G28">
        <v>82.7</v>
      </c>
      <c r="H28">
        <v>6.8</v>
      </c>
      <c r="I28">
        <v>5.15</v>
      </c>
      <c r="J28">
        <v>223</v>
      </c>
      <c r="K28">
        <v>10</v>
      </c>
      <c r="L28">
        <v>6.59</v>
      </c>
      <c r="M28">
        <v>-2</v>
      </c>
      <c r="N28" t="s">
        <v>58</v>
      </c>
      <c r="O28" t="s">
        <v>58</v>
      </c>
      <c r="P28">
        <v>11.4</v>
      </c>
      <c r="Q28">
        <v>384</v>
      </c>
      <c r="R28">
        <v>388</v>
      </c>
    </row>
    <row r="29" spans="1:19" s="95" customFormat="1" x14ac:dyDescent="0.35">
      <c r="A29" s="97" t="s">
        <v>305</v>
      </c>
      <c r="B29">
        <v>26</v>
      </c>
      <c r="C29" s="96">
        <v>44564</v>
      </c>
      <c r="D29" s="95" t="s">
        <v>303</v>
      </c>
      <c r="E29" s="95">
        <v>567</v>
      </c>
      <c r="F29" s="95" t="s">
        <v>25</v>
      </c>
      <c r="G29" s="95">
        <v>14.9</v>
      </c>
      <c r="H29" s="95">
        <v>38.299999999999997</v>
      </c>
      <c r="I29" s="95">
        <v>37.1</v>
      </c>
      <c r="J29" s="95">
        <v>84.1</v>
      </c>
      <c r="K29" s="95">
        <v>2</v>
      </c>
      <c r="L29" s="95">
        <v>16</v>
      </c>
      <c r="M29" s="95">
        <v>46</v>
      </c>
      <c r="N29" s="95" t="s">
        <v>58</v>
      </c>
      <c r="O29" s="95" t="s">
        <v>58</v>
      </c>
      <c r="P29" s="95">
        <v>0.62</v>
      </c>
      <c r="Q29" s="95">
        <v>552</v>
      </c>
      <c r="R29" s="95">
        <v>577</v>
      </c>
    </row>
    <row r="30" spans="1:19" x14ac:dyDescent="0.35">
      <c r="B30">
        <v>27</v>
      </c>
      <c r="C30" s="7">
        <v>44563</v>
      </c>
      <c r="D30" t="s">
        <v>12</v>
      </c>
      <c r="E30">
        <v>650</v>
      </c>
      <c r="F30" s="95" t="s">
        <v>312</v>
      </c>
      <c r="G30">
        <v>5.74</v>
      </c>
      <c r="H30">
        <v>112</v>
      </c>
      <c r="I30">
        <v>69.8</v>
      </c>
      <c r="J30">
        <v>44</v>
      </c>
      <c r="K30">
        <v>10</v>
      </c>
      <c r="L30">
        <v>1</v>
      </c>
      <c r="M30">
        <v>18</v>
      </c>
      <c r="N30" t="s">
        <v>58</v>
      </c>
      <c r="O30" t="s">
        <v>58</v>
      </c>
      <c r="P30">
        <v>0.32</v>
      </c>
      <c r="Q30">
        <v>623</v>
      </c>
      <c r="R30">
        <v>660</v>
      </c>
      <c r="S30" t="s">
        <v>294</v>
      </c>
    </row>
    <row r="31" spans="1:19" x14ac:dyDescent="0.35">
      <c r="B31">
        <v>28</v>
      </c>
      <c r="C31" s="7"/>
      <c r="D31" t="s">
        <v>326</v>
      </c>
      <c r="E31">
        <v>691</v>
      </c>
      <c r="F31" s="95" t="s">
        <v>313</v>
      </c>
      <c r="G31">
        <v>5.16</v>
      </c>
      <c r="H31">
        <v>142</v>
      </c>
      <c r="I31">
        <v>56.1</v>
      </c>
      <c r="J31">
        <v>102</v>
      </c>
      <c r="K31">
        <v>5</v>
      </c>
      <c r="L31">
        <v>47.4</v>
      </c>
      <c r="M31">
        <v>20</v>
      </c>
      <c r="N31" t="s">
        <v>58</v>
      </c>
      <c r="O31" t="s">
        <v>58</v>
      </c>
      <c r="P31">
        <v>0</v>
      </c>
      <c r="S31" t="s">
        <v>305</v>
      </c>
    </row>
    <row r="32" spans="1:19" x14ac:dyDescent="0.35">
      <c r="B32">
        <v>29</v>
      </c>
      <c r="C32" s="7">
        <v>44563</v>
      </c>
      <c r="D32" t="s">
        <v>167</v>
      </c>
      <c r="E32">
        <v>928</v>
      </c>
      <c r="F32" s="95" t="s">
        <v>312</v>
      </c>
      <c r="G32" s="94">
        <v>11</v>
      </c>
      <c r="H32">
        <v>84.6</v>
      </c>
      <c r="I32">
        <v>84.1</v>
      </c>
      <c r="J32">
        <v>25.7</v>
      </c>
      <c r="K32">
        <v>10</v>
      </c>
      <c r="L32">
        <v>20</v>
      </c>
      <c r="M32">
        <v>8</v>
      </c>
      <c r="N32" t="s">
        <v>58</v>
      </c>
      <c r="O32" t="s">
        <v>58</v>
      </c>
      <c r="P32">
        <v>0</v>
      </c>
      <c r="Q32">
        <v>895</v>
      </c>
      <c r="R32">
        <v>955</v>
      </c>
    </row>
    <row r="33" spans="2:18" x14ac:dyDescent="0.35">
      <c r="B33">
        <v>30</v>
      </c>
      <c r="C33" s="7"/>
      <c r="D33" t="s">
        <v>327</v>
      </c>
      <c r="E33">
        <v>976</v>
      </c>
      <c r="F33" s="95" t="s">
        <v>328</v>
      </c>
      <c r="G33" s="94">
        <v>9.5500000000000007</v>
      </c>
      <c r="H33">
        <v>102</v>
      </c>
      <c r="I33">
        <v>36.700000000000003</v>
      </c>
      <c r="J33">
        <v>328</v>
      </c>
      <c r="K33">
        <v>2</v>
      </c>
      <c r="L33">
        <v>45.8</v>
      </c>
      <c r="M33">
        <v>21</v>
      </c>
      <c r="N33" t="s">
        <v>58</v>
      </c>
      <c r="O33" t="s">
        <v>58</v>
      </c>
      <c r="P33">
        <v>0.1</v>
      </c>
    </row>
    <row r="34" spans="2:18" x14ac:dyDescent="0.35">
      <c r="B34">
        <v>31</v>
      </c>
      <c r="C34" s="7">
        <v>44563</v>
      </c>
      <c r="D34" t="s">
        <v>94</v>
      </c>
      <c r="E34">
        <v>1401</v>
      </c>
      <c r="F34" s="95" t="s">
        <v>312</v>
      </c>
      <c r="G34">
        <v>27.9</v>
      </c>
      <c r="H34">
        <v>52.9</v>
      </c>
      <c r="I34">
        <v>70.8</v>
      </c>
      <c r="J34">
        <v>180</v>
      </c>
      <c r="K34">
        <v>10</v>
      </c>
      <c r="L34">
        <v>9</v>
      </c>
      <c r="M34">
        <v>20</v>
      </c>
      <c r="N34" t="s">
        <v>58</v>
      </c>
      <c r="O34" t="s">
        <v>58</v>
      </c>
      <c r="P34">
        <v>0.56999999999999995</v>
      </c>
      <c r="Q34">
        <v>1325</v>
      </c>
      <c r="R34">
        <v>1462</v>
      </c>
    </row>
    <row r="35" spans="2:18" x14ac:dyDescent="0.35">
      <c r="B35">
        <v>32</v>
      </c>
      <c r="C35" s="7">
        <v>44564</v>
      </c>
      <c r="D35" t="s">
        <v>307</v>
      </c>
      <c r="E35">
        <v>1919</v>
      </c>
      <c r="F35" s="95" t="s">
        <v>20</v>
      </c>
      <c r="G35">
        <v>1919</v>
      </c>
      <c r="H35">
        <v>87.7</v>
      </c>
      <c r="I35">
        <v>42.5</v>
      </c>
      <c r="J35">
        <v>117</v>
      </c>
      <c r="K35">
        <v>10</v>
      </c>
      <c r="L35">
        <v>5.6</v>
      </c>
      <c r="M35">
        <v>63</v>
      </c>
      <c r="N35" t="s">
        <v>58</v>
      </c>
      <c r="O35" t="s">
        <v>58</v>
      </c>
      <c r="P35">
        <v>0</v>
      </c>
      <c r="Q35">
        <v>1898</v>
      </c>
      <c r="R35">
        <v>1942</v>
      </c>
    </row>
    <row r="36" spans="2:18" x14ac:dyDescent="0.35">
      <c r="B36">
        <v>33</v>
      </c>
      <c r="C36" s="7">
        <v>44563</v>
      </c>
      <c r="D36" t="s">
        <v>131</v>
      </c>
      <c r="E36">
        <v>2586</v>
      </c>
      <c r="F36" s="95" t="s">
        <v>312</v>
      </c>
      <c r="G36">
        <v>115</v>
      </c>
      <c r="H36">
        <v>22.5</v>
      </c>
      <c r="I36">
        <v>24.9</v>
      </c>
      <c r="J36">
        <v>903</v>
      </c>
      <c r="K36">
        <v>2</v>
      </c>
      <c r="L36">
        <v>31</v>
      </c>
      <c r="M36">
        <v>16</v>
      </c>
      <c r="N36" t="s">
        <v>58</v>
      </c>
      <c r="O36" t="s">
        <v>58</v>
      </c>
      <c r="P36">
        <v>0.89</v>
      </c>
      <c r="Q36">
        <v>2490</v>
      </c>
      <c r="R36">
        <v>2680</v>
      </c>
    </row>
    <row r="37" spans="2:18" x14ac:dyDescent="0.35">
      <c r="B37">
        <v>34</v>
      </c>
      <c r="C37" s="7">
        <v>44563</v>
      </c>
      <c r="D37" t="s">
        <v>297</v>
      </c>
      <c r="E37">
        <v>7220</v>
      </c>
      <c r="F37" s="95" t="s">
        <v>315</v>
      </c>
      <c r="G37" s="95">
        <v>82.5</v>
      </c>
      <c r="H37" s="95">
        <v>87.6</v>
      </c>
      <c r="I37" s="95">
        <v>26.6</v>
      </c>
      <c r="J37" s="95">
        <v>646</v>
      </c>
      <c r="K37" s="95">
        <v>2</v>
      </c>
      <c r="L37" s="95">
        <v>58.3</v>
      </c>
      <c r="M37" s="95">
        <v>53</v>
      </c>
      <c r="N37" t="s">
        <v>58</v>
      </c>
      <c r="O37" t="s">
        <v>58</v>
      </c>
      <c r="P37">
        <v>0.14000000000000001</v>
      </c>
      <c r="Q37">
        <v>7047</v>
      </c>
      <c r="R37">
        <v>7319</v>
      </c>
    </row>
    <row r="38" spans="2:18" x14ac:dyDescent="0.35">
      <c r="B38">
        <v>35</v>
      </c>
      <c r="C38" s="7">
        <v>44564</v>
      </c>
      <c r="D38" t="s">
        <v>178</v>
      </c>
      <c r="E38">
        <v>503</v>
      </c>
      <c r="F38" s="95" t="s">
        <v>310</v>
      </c>
      <c r="G38">
        <v>43</v>
      </c>
      <c r="H38">
        <v>11.4</v>
      </c>
      <c r="I38">
        <v>32.299999999999997</v>
      </c>
      <c r="J38">
        <v>195</v>
      </c>
      <c r="K38">
        <v>5</v>
      </c>
      <c r="L38">
        <v>61</v>
      </c>
      <c r="M38">
        <v>6</v>
      </c>
      <c r="N38" t="s">
        <v>58</v>
      </c>
      <c r="O38" t="s">
        <v>58</v>
      </c>
      <c r="P38">
        <v>1.28</v>
      </c>
      <c r="Q38">
        <v>499</v>
      </c>
      <c r="R38">
        <v>508</v>
      </c>
    </row>
    <row r="39" spans="2:18" x14ac:dyDescent="0.35">
      <c r="B39">
        <v>36</v>
      </c>
    </row>
    <row r="40" spans="2:18" x14ac:dyDescent="0.35">
      <c r="B40">
        <v>37</v>
      </c>
    </row>
    <row r="41" spans="2:18" x14ac:dyDescent="0.35">
      <c r="B41">
        <v>38</v>
      </c>
    </row>
    <row r="42" spans="2:18" x14ac:dyDescent="0.35">
      <c r="B42">
        <v>39</v>
      </c>
    </row>
  </sheetData>
  <autoFilter ref="B1:U38" xr:uid="{6437B98B-6B9F-43BF-B29A-FF66C52E9BB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1E2-D7D7-462D-8A43-422979881D9A}">
  <sheetPr>
    <tabColor theme="5" tint="-0.249977111117893"/>
  </sheetPr>
  <dimension ref="A1:N16"/>
  <sheetViews>
    <sheetView workbookViewId="0">
      <selection activeCell="H20" sqref="H20"/>
    </sheetView>
  </sheetViews>
  <sheetFormatPr defaultRowHeight="14.5" x14ac:dyDescent="0.35"/>
  <cols>
    <col min="1" max="1" width="10.08984375" bestFit="1" customWidth="1"/>
    <col min="2" max="2" width="11.7265625" bestFit="1" customWidth="1"/>
    <col min="11" max="11" width="21.36328125" bestFit="1" customWidth="1"/>
    <col min="12" max="12" width="16.26953125" bestFit="1" customWidth="1"/>
    <col min="13" max="13" width="11" bestFit="1" customWidth="1"/>
    <col min="14" max="14" width="14.6328125" bestFit="1" customWidth="1"/>
  </cols>
  <sheetData>
    <row r="1" spans="1:14" s="3" customFormat="1" x14ac:dyDescent="0.35">
      <c r="A1" s="3" t="s">
        <v>38</v>
      </c>
      <c r="B1" s="3" t="s">
        <v>31</v>
      </c>
      <c r="C1" s="3" t="s">
        <v>32</v>
      </c>
      <c r="D1" s="3" t="s">
        <v>3</v>
      </c>
      <c r="E1" s="3" t="s">
        <v>4</v>
      </c>
      <c r="F1" s="3" t="s">
        <v>5</v>
      </c>
      <c r="G1" s="3" t="s">
        <v>6</v>
      </c>
      <c r="H1" s="3" t="s">
        <v>7</v>
      </c>
      <c r="I1" s="3" t="s">
        <v>17</v>
      </c>
      <c r="J1" s="3" t="s">
        <v>19</v>
      </c>
      <c r="K1" s="3" t="s">
        <v>8</v>
      </c>
      <c r="L1" s="3" t="s">
        <v>10</v>
      </c>
      <c r="M1" s="3" t="s">
        <v>24</v>
      </c>
      <c r="N1" s="3" t="s">
        <v>278</v>
      </c>
    </row>
    <row r="2" spans="1:14" x14ac:dyDescent="0.35">
      <c r="A2" s="7">
        <v>44559</v>
      </c>
      <c r="B2" t="s">
        <v>57</v>
      </c>
      <c r="C2">
        <v>220</v>
      </c>
      <c r="D2">
        <v>11.6</v>
      </c>
      <c r="E2">
        <v>19</v>
      </c>
      <c r="F2">
        <v>16.5</v>
      </c>
      <c r="G2">
        <v>49.4</v>
      </c>
      <c r="H2">
        <v>1</v>
      </c>
      <c r="I2">
        <v>35</v>
      </c>
      <c r="J2">
        <v>5</v>
      </c>
      <c r="K2" t="s">
        <v>58</v>
      </c>
      <c r="L2" s="51" t="s">
        <v>283</v>
      </c>
      <c r="M2">
        <v>4.8899999999999997</v>
      </c>
      <c r="N2" s="52" t="s">
        <v>280</v>
      </c>
    </row>
    <row r="3" spans="1:14" x14ac:dyDescent="0.35">
      <c r="A3" s="7">
        <v>44559</v>
      </c>
      <c r="B3" t="s">
        <v>66</v>
      </c>
      <c r="C3">
        <v>334</v>
      </c>
      <c r="D3">
        <v>-14.4</v>
      </c>
      <c r="F3">
        <v>228</v>
      </c>
      <c r="G3">
        <v>1.26</v>
      </c>
      <c r="H3">
        <v>5</v>
      </c>
      <c r="I3">
        <v>8.6999999999999993</v>
      </c>
      <c r="J3">
        <v>5</v>
      </c>
      <c r="K3" t="s">
        <v>58</v>
      </c>
      <c r="L3" t="s">
        <v>58</v>
      </c>
      <c r="M3">
        <v>0</v>
      </c>
      <c r="N3" s="51" t="s">
        <v>279</v>
      </c>
    </row>
    <row r="4" spans="1:14" x14ac:dyDescent="0.35">
      <c r="A4" s="7">
        <v>44559</v>
      </c>
      <c r="B4" t="s">
        <v>61</v>
      </c>
      <c r="C4">
        <v>562</v>
      </c>
      <c r="D4">
        <v>10</v>
      </c>
      <c r="E4">
        <v>55</v>
      </c>
      <c r="F4">
        <v>36</v>
      </c>
      <c r="G4">
        <v>46</v>
      </c>
      <c r="H4">
        <v>1</v>
      </c>
      <c r="I4">
        <v>21</v>
      </c>
      <c r="J4">
        <v>15</v>
      </c>
      <c r="K4" t="s">
        <v>58</v>
      </c>
      <c r="L4" t="s">
        <v>58</v>
      </c>
      <c r="M4">
        <v>0.84</v>
      </c>
      <c r="N4" s="54" t="s">
        <v>281</v>
      </c>
    </row>
    <row r="5" spans="1:14" x14ac:dyDescent="0.35">
      <c r="A5" s="7">
        <v>44562</v>
      </c>
      <c r="B5" t="s">
        <v>196</v>
      </c>
      <c r="C5">
        <v>888</v>
      </c>
      <c r="D5">
        <v>15.2</v>
      </c>
      <c r="E5">
        <v>58.5</v>
      </c>
      <c r="F5">
        <v>42</v>
      </c>
      <c r="G5">
        <v>91.5</v>
      </c>
      <c r="H5">
        <v>10</v>
      </c>
      <c r="I5">
        <v>19</v>
      </c>
      <c r="J5">
        <v>38</v>
      </c>
      <c r="K5" t="s">
        <v>58</v>
      </c>
      <c r="L5" t="s">
        <v>58</v>
      </c>
      <c r="M5">
        <v>0.28000000000000003</v>
      </c>
      <c r="N5" s="52" t="s">
        <v>280</v>
      </c>
    </row>
    <row r="6" spans="1:14" x14ac:dyDescent="0.35">
      <c r="A6" s="7">
        <v>44559</v>
      </c>
      <c r="B6" t="s">
        <v>59</v>
      </c>
      <c r="C6">
        <v>968</v>
      </c>
      <c r="D6">
        <v>17.2</v>
      </c>
      <c r="E6">
        <v>54.7</v>
      </c>
      <c r="F6">
        <v>35.299999999999997</v>
      </c>
      <c r="G6">
        <v>102</v>
      </c>
      <c r="H6">
        <v>1</v>
      </c>
      <c r="I6">
        <v>21</v>
      </c>
      <c r="J6">
        <v>22</v>
      </c>
      <c r="K6" t="s">
        <v>58</v>
      </c>
      <c r="L6" t="s">
        <v>58</v>
      </c>
      <c r="M6">
        <v>0</v>
      </c>
      <c r="N6" s="52" t="s">
        <v>280</v>
      </c>
    </row>
    <row r="7" spans="1:14" x14ac:dyDescent="0.35">
      <c r="A7" s="7">
        <v>44562</v>
      </c>
      <c r="B7" t="s">
        <v>270</v>
      </c>
      <c r="C7">
        <v>1236</v>
      </c>
      <c r="D7">
        <v>21.2</v>
      </c>
      <c r="E7">
        <v>58.4</v>
      </c>
      <c r="F7">
        <v>44.5</v>
      </c>
      <c r="G7">
        <v>139</v>
      </c>
      <c r="H7">
        <v>2</v>
      </c>
      <c r="I7">
        <v>16</v>
      </c>
      <c r="J7">
        <v>62</v>
      </c>
      <c r="K7" t="s">
        <v>58</v>
      </c>
      <c r="L7" t="s">
        <v>58</v>
      </c>
      <c r="M7">
        <v>0.19</v>
      </c>
      <c r="N7" s="52" t="s">
        <v>280</v>
      </c>
    </row>
    <row r="8" spans="1:14" x14ac:dyDescent="0.35">
      <c r="A8" s="7">
        <v>44559</v>
      </c>
      <c r="B8" t="s">
        <v>60</v>
      </c>
      <c r="C8">
        <v>2309</v>
      </c>
      <c r="D8">
        <v>35.799999999999997</v>
      </c>
      <c r="E8">
        <v>64.2</v>
      </c>
      <c r="F8">
        <v>60.1</v>
      </c>
      <c r="G8">
        <v>203</v>
      </c>
      <c r="H8">
        <v>1</v>
      </c>
      <c r="I8">
        <v>24</v>
      </c>
      <c r="J8">
        <v>20</v>
      </c>
      <c r="K8" t="s">
        <v>58</v>
      </c>
      <c r="L8" t="s">
        <v>58</v>
      </c>
      <c r="M8">
        <v>1.34</v>
      </c>
      <c r="N8" s="52" t="s">
        <v>280</v>
      </c>
    </row>
    <row r="9" spans="1:14" x14ac:dyDescent="0.35">
      <c r="A9" s="7">
        <v>44559</v>
      </c>
      <c r="B9" t="s">
        <v>63</v>
      </c>
      <c r="C9">
        <v>2398</v>
      </c>
      <c r="D9">
        <v>83</v>
      </c>
      <c r="E9">
        <v>31</v>
      </c>
      <c r="F9">
        <v>5</v>
      </c>
      <c r="G9">
        <v>1097</v>
      </c>
      <c r="H9">
        <v>10</v>
      </c>
      <c r="I9">
        <v>16</v>
      </c>
      <c r="J9">
        <v>25</v>
      </c>
      <c r="K9" t="s">
        <v>58</v>
      </c>
      <c r="L9" t="s">
        <v>58</v>
      </c>
      <c r="M9">
        <v>0.28999999999999998</v>
      </c>
      <c r="N9" s="54" t="s">
        <v>281</v>
      </c>
    </row>
    <row r="10" spans="1:14" x14ac:dyDescent="0.35">
      <c r="A10" s="7">
        <v>44562</v>
      </c>
      <c r="B10" t="s">
        <v>264</v>
      </c>
      <c r="C10">
        <v>3591</v>
      </c>
      <c r="D10">
        <v>31.8</v>
      </c>
      <c r="E10">
        <v>113</v>
      </c>
      <c r="F10">
        <v>113</v>
      </c>
      <c r="G10">
        <v>130</v>
      </c>
      <c r="H10">
        <v>10</v>
      </c>
      <c r="I10">
        <v>25</v>
      </c>
      <c r="J10">
        <v>53</v>
      </c>
      <c r="K10" t="s">
        <v>58</v>
      </c>
      <c r="L10" t="s">
        <v>58</v>
      </c>
      <c r="M10">
        <v>0.17</v>
      </c>
      <c r="N10" s="52" t="s">
        <v>280</v>
      </c>
    </row>
    <row r="11" spans="1:14" x14ac:dyDescent="0.35">
      <c r="A11" s="7">
        <v>44559</v>
      </c>
      <c r="B11" t="s">
        <v>65</v>
      </c>
      <c r="C11">
        <v>3633</v>
      </c>
      <c r="D11">
        <v>3.86</v>
      </c>
      <c r="E11">
        <v>2021</v>
      </c>
      <c r="F11">
        <v>235</v>
      </c>
      <c r="G11">
        <v>400</v>
      </c>
      <c r="H11">
        <v>10</v>
      </c>
      <c r="I11">
        <v>11.7</v>
      </c>
      <c r="J11">
        <v>40</v>
      </c>
      <c r="K11" t="s">
        <v>58</v>
      </c>
      <c r="L11" t="s">
        <v>58</v>
      </c>
      <c r="M11">
        <v>0</v>
      </c>
      <c r="N11" s="51" t="s">
        <v>279</v>
      </c>
    </row>
    <row r="12" spans="1:14" x14ac:dyDescent="0.35">
      <c r="A12" s="7">
        <v>44559</v>
      </c>
      <c r="B12" t="s">
        <v>64</v>
      </c>
      <c r="C12">
        <v>4722</v>
      </c>
      <c r="D12">
        <v>21</v>
      </c>
      <c r="E12">
        <v>223</v>
      </c>
      <c r="F12">
        <v>235</v>
      </c>
      <c r="G12">
        <v>196</v>
      </c>
      <c r="H12">
        <v>10</v>
      </c>
      <c r="I12">
        <v>7.86</v>
      </c>
      <c r="J12">
        <v>40</v>
      </c>
      <c r="K12" t="s">
        <v>58</v>
      </c>
      <c r="L12" t="s">
        <v>58</v>
      </c>
      <c r="M12">
        <v>0</v>
      </c>
      <c r="N12" s="52" t="s">
        <v>282</v>
      </c>
    </row>
    <row r="13" spans="1:14" x14ac:dyDescent="0.35">
      <c r="A13" s="7">
        <v>44562</v>
      </c>
      <c r="B13" t="s">
        <v>271</v>
      </c>
      <c r="C13">
        <v>15459</v>
      </c>
      <c r="D13">
        <v>190</v>
      </c>
      <c r="E13">
        <v>81.400000000000006</v>
      </c>
      <c r="F13">
        <v>60.6</v>
      </c>
      <c r="G13">
        <v>220</v>
      </c>
      <c r="H13">
        <v>10</v>
      </c>
      <c r="I13">
        <v>23</v>
      </c>
      <c r="J13">
        <v>17</v>
      </c>
      <c r="K13" t="s">
        <v>58</v>
      </c>
      <c r="L13" t="s">
        <v>58</v>
      </c>
      <c r="M13">
        <v>1.07</v>
      </c>
      <c r="N13" s="51" t="s">
        <v>277</v>
      </c>
    </row>
    <row r="14" spans="1:14" x14ac:dyDescent="0.35">
      <c r="A14" s="7">
        <v>44559</v>
      </c>
      <c r="B14" t="s">
        <v>62</v>
      </c>
      <c r="C14">
        <v>19355</v>
      </c>
      <c r="D14">
        <v>232</v>
      </c>
      <c r="E14">
        <v>83</v>
      </c>
      <c r="F14">
        <v>59</v>
      </c>
      <c r="G14">
        <v>232</v>
      </c>
      <c r="H14">
        <v>10</v>
      </c>
      <c r="I14">
        <v>24</v>
      </c>
      <c r="J14">
        <v>20</v>
      </c>
      <c r="K14" t="s">
        <v>58</v>
      </c>
      <c r="L14" t="s">
        <v>58</v>
      </c>
      <c r="M14">
        <v>1.03</v>
      </c>
      <c r="N14" s="51" t="s">
        <v>277</v>
      </c>
    </row>
    <row r="15" spans="1:14" x14ac:dyDescent="0.35">
      <c r="A15" s="7"/>
    </row>
    <row r="16" spans="1:14" x14ac:dyDescent="0.35">
      <c r="A16" s="7"/>
    </row>
  </sheetData>
  <sortState xmlns:xlrd2="http://schemas.microsoft.com/office/spreadsheetml/2017/richdata2" ref="A2:N14">
    <sortCondition ref="C1:C14"/>
  </sortState>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25FF-B9AF-4C7C-94DA-C22838A132E8}">
  <sheetPr>
    <tabColor theme="4" tint="-0.249977111117893"/>
  </sheetPr>
  <dimension ref="A1:N13"/>
  <sheetViews>
    <sheetView workbookViewId="0">
      <selection activeCell="B11" sqref="B11"/>
    </sheetView>
  </sheetViews>
  <sheetFormatPr defaultRowHeight="14.5" x14ac:dyDescent="0.35"/>
  <cols>
    <col min="1" max="1" width="10.08984375" bestFit="1" customWidth="1"/>
    <col min="2" max="2" width="12.54296875" bestFit="1" customWidth="1"/>
    <col min="14" max="14" width="13.90625" bestFit="1" customWidth="1"/>
  </cols>
  <sheetData>
    <row r="1" spans="1:14" s="3" customFormat="1" x14ac:dyDescent="0.35">
      <c r="A1" s="3" t="s">
        <v>38</v>
      </c>
      <c r="B1" s="3" t="s">
        <v>31</v>
      </c>
      <c r="C1" s="3" t="s">
        <v>32</v>
      </c>
      <c r="D1" s="3" t="s">
        <v>3</v>
      </c>
      <c r="E1" s="3" t="s">
        <v>4</v>
      </c>
      <c r="F1" s="3" t="s">
        <v>5</v>
      </c>
      <c r="G1" s="3" t="s">
        <v>6</v>
      </c>
      <c r="H1" s="3" t="s">
        <v>7</v>
      </c>
      <c r="I1" s="3" t="s">
        <v>17</v>
      </c>
      <c r="J1" s="3" t="s">
        <v>19</v>
      </c>
      <c r="K1" s="3" t="s">
        <v>8</v>
      </c>
      <c r="L1" s="3" t="s">
        <v>10</v>
      </c>
      <c r="M1" s="3" t="s">
        <v>24</v>
      </c>
      <c r="N1" s="3" t="s">
        <v>284</v>
      </c>
    </row>
    <row r="2" spans="1:14" x14ac:dyDescent="0.35">
      <c r="A2" s="7">
        <v>44559</v>
      </c>
      <c r="B2" t="s">
        <v>72</v>
      </c>
      <c r="C2">
        <v>20.6</v>
      </c>
      <c r="D2">
        <v>0.71</v>
      </c>
      <c r="E2">
        <v>30.8</v>
      </c>
      <c r="F2">
        <v>9.56</v>
      </c>
      <c r="G2">
        <v>8.9600000000000009</v>
      </c>
      <c r="H2">
        <v>10</v>
      </c>
      <c r="I2">
        <v>36.5</v>
      </c>
      <c r="J2">
        <v>11</v>
      </c>
      <c r="K2" t="s">
        <v>58</v>
      </c>
      <c r="L2" t="s">
        <v>58</v>
      </c>
      <c r="M2">
        <v>0</v>
      </c>
    </row>
    <row r="3" spans="1:14" x14ac:dyDescent="0.35">
      <c r="A3" s="7">
        <v>44559</v>
      </c>
      <c r="B3" t="s">
        <v>71</v>
      </c>
      <c r="C3">
        <v>37.299999999999997</v>
      </c>
      <c r="D3">
        <v>3.45</v>
      </c>
      <c r="E3">
        <v>11</v>
      </c>
      <c r="F3">
        <v>9.56</v>
      </c>
      <c r="G3">
        <v>84</v>
      </c>
      <c r="H3">
        <v>2</v>
      </c>
      <c r="I3">
        <v>49.5</v>
      </c>
      <c r="J3">
        <v>-20</v>
      </c>
      <c r="K3" t="s">
        <v>69</v>
      </c>
      <c r="L3" t="s">
        <v>58</v>
      </c>
      <c r="M3">
        <v>0</v>
      </c>
    </row>
    <row r="4" spans="1:14" x14ac:dyDescent="0.35">
      <c r="A4" s="7">
        <v>44559</v>
      </c>
      <c r="B4" t="s">
        <v>68</v>
      </c>
      <c r="C4">
        <v>47.9</v>
      </c>
      <c r="D4">
        <v>2</v>
      </c>
      <c r="E4">
        <v>23</v>
      </c>
      <c r="F4">
        <v>17</v>
      </c>
      <c r="G4">
        <v>35</v>
      </c>
      <c r="H4">
        <v>10</v>
      </c>
      <c r="I4">
        <v>41</v>
      </c>
      <c r="J4">
        <v>-7</v>
      </c>
      <c r="K4" t="s">
        <v>69</v>
      </c>
      <c r="L4" t="s">
        <v>58</v>
      </c>
      <c r="M4">
        <v>0</v>
      </c>
    </row>
    <row r="5" spans="1:14" x14ac:dyDescent="0.35">
      <c r="A5" s="7">
        <v>44559</v>
      </c>
      <c r="B5" t="s">
        <v>70</v>
      </c>
      <c r="C5">
        <v>80.900000000000006</v>
      </c>
      <c r="D5">
        <v>7.6</v>
      </c>
      <c r="E5">
        <v>11</v>
      </c>
      <c r="F5">
        <v>9.56</v>
      </c>
      <c r="G5">
        <v>159</v>
      </c>
      <c r="H5">
        <v>2</v>
      </c>
      <c r="I5">
        <v>44</v>
      </c>
      <c r="J5">
        <v>-12</v>
      </c>
      <c r="K5" t="s">
        <v>69</v>
      </c>
      <c r="L5" t="s">
        <v>58</v>
      </c>
      <c r="M5">
        <v>0</v>
      </c>
    </row>
    <row r="6" spans="1:14" x14ac:dyDescent="0.35">
      <c r="A6" s="7">
        <v>44559</v>
      </c>
      <c r="B6" t="s">
        <v>67</v>
      </c>
      <c r="C6">
        <v>461</v>
      </c>
      <c r="D6">
        <v>32</v>
      </c>
      <c r="E6">
        <v>12</v>
      </c>
      <c r="F6">
        <v>9.5</v>
      </c>
      <c r="G6">
        <v>309</v>
      </c>
      <c r="H6">
        <v>1</v>
      </c>
      <c r="I6">
        <v>31</v>
      </c>
      <c r="J6">
        <v>13</v>
      </c>
      <c r="K6" t="s">
        <v>58</v>
      </c>
      <c r="L6" t="s">
        <v>58</v>
      </c>
      <c r="M6">
        <v>0.87</v>
      </c>
    </row>
    <row r="7" spans="1:14" x14ac:dyDescent="0.35">
      <c r="A7" s="7">
        <v>44562</v>
      </c>
      <c r="B7" t="s">
        <v>265</v>
      </c>
      <c r="C7">
        <v>520</v>
      </c>
      <c r="D7">
        <v>19.399999999999999</v>
      </c>
      <c r="E7">
        <v>26.8</v>
      </c>
      <c r="F7">
        <v>25.9</v>
      </c>
      <c r="G7">
        <v>128</v>
      </c>
      <c r="H7">
        <v>2</v>
      </c>
      <c r="I7">
        <v>67</v>
      </c>
      <c r="J7">
        <v>22</v>
      </c>
      <c r="K7" t="s">
        <v>58</v>
      </c>
      <c r="L7" t="s">
        <v>58</v>
      </c>
      <c r="M7">
        <v>0.38</v>
      </c>
      <c r="N7" s="57" t="s">
        <v>285</v>
      </c>
    </row>
    <row r="8" spans="1:14" x14ac:dyDescent="0.35">
      <c r="A8" s="7">
        <v>44562</v>
      </c>
      <c r="B8" t="s">
        <v>204</v>
      </c>
      <c r="C8">
        <v>679</v>
      </c>
      <c r="D8">
        <v>32</v>
      </c>
      <c r="E8">
        <v>20</v>
      </c>
      <c r="F8">
        <v>17.600000000000001</v>
      </c>
      <c r="G8">
        <v>338</v>
      </c>
      <c r="H8">
        <v>2</v>
      </c>
      <c r="I8">
        <v>45</v>
      </c>
      <c r="J8">
        <v>9</v>
      </c>
      <c r="K8" t="s">
        <v>58</v>
      </c>
      <c r="L8" t="s">
        <v>58</v>
      </c>
      <c r="M8">
        <v>0</v>
      </c>
    </row>
    <row r="9" spans="1:14" x14ac:dyDescent="0.35">
      <c r="A9" s="7">
        <v>44559</v>
      </c>
      <c r="B9" t="s">
        <v>132</v>
      </c>
      <c r="C9">
        <v>736</v>
      </c>
      <c r="D9">
        <v>30.7</v>
      </c>
      <c r="E9">
        <v>24.1</v>
      </c>
      <c r="F9">
        <v>17.399999999999999</v>
      </c>
      <c r="G9">
        <v>227</v>
      </c>
      <c r="H9">
        <v>2</v>
      </c>
      <c r="I9">
        <v>1.75</v>
      </c>
      <c r="J9">
        <v>26</v>
      </c>
      <c r="K9" t="s">
        <v>58</v>
      </c>
      <c r="L9" t="s">
        <v>58</v>
      </c>
      <c r="M9">
        <v>0.27</v>
      </c>
      <c r="N9" s="56" t="s">
        <v>286</v>
      </c>
    </row>
    <row r="10" spans="1:14" x14ac:dyDescent="0.35">
      <c r="A10" s="7">
        <v>44562</v>
      </c>
      <c r="B10" t="s">
        <v>128</v>
      </c>
      <c r="C10">
        <v>1479</v>
      </c>
      <c r="D10">
        <v>62</v>
      </c>
      <c r="E10">
        <v>24</v>
      </c>
      <c r="F10">
        <v>17.600000000000001</v>
      </c>
      <c r="G10">
        <v>379</v>
      </c>
      <c r="H10">
        <v>1</v>
      </c>
      <c r="I10">
        <v>55</v>
      </c>
      <c r="J10">
        <v>20</v>
      </c>
      <c r="K10" t="s">
        <v>58</v>
      </c>
      <c r="L10" t="s">
        <v>69</v>
      </c>
      <c r="M10">
        <v>0.44</v>
      </c>
      <c r="N10" s="56" t="s">
        <v>286</v>
      </c>
    </row>
    <row r="11" spans="1:14" x14ac:dyDescent="0.35">
      <c r="A11" s="7">
        <v>44562</v>
      </c>
      <c r="B11" s="53" t="s">
        <v>266</v>
      </c>
      <c r="C11">
        <v>1496</v>
      </c>
      <c r="D11">
        <v>98.5</v>
      </c>
      <c r="E11">
        <v>15.2</v>
      </c>
      <c r="F11">
        <v>25.9</v>
      </c>
      <c r="G11">
        <v>408</v>
      </c>
      <c r="H11">
        <v>10</v>
      </c>
      <c r="I11">
        <v>82</v>
      </c>
      <c r="J11">
        <v>39</v>
      </c>
      <c r="K11" t="s">
        <v>58</v>
      </c>
      <c r="L11" t="s">
        <v>58</v>
      </c>
      <c r="M11">
        <v>1.34</v>
      </c>
      <c r="N11" s="57" t="s">
        <v>285</v>
      </c>
    </row>
    <row r="12" spans="1:14" x14ac:dyDescent="0.35">
      <c r="A12" s="7">
        <v>44559</v>
      </c>
      <c r="B12" t="s">
        <v>74</v>
      </c>
      <c r="C12">
        <v>1775</v>
      </c>
      <c r="D12">
        <v>50.4</v>
      </c>
      <c r="E12">
        <v>35.299999999999997</v>
      </c>
      <c r="F12">
        <v>17.399999999999999</v>
      </c>
      <c r="G12">
        <v>428</v>
      </c>
      <c r="H12">
        <v>5</v>
      </c>
      <c r="I12">
        <v>-4.22</v>
      </c>
      <c r="J12">
        <v>15</v>
      </c>
      <c r="K12" t="s">
        <v>58</v>
      </c>
      <c r="L12" t="s">
        <v>58</v>
      </c>
      <c r="M12">
        <v>0.05</v>
      </c>
    </row>
    <row r="13" spans="1:14" x14ac:dyDescent="0.35">
      <c r="A13" s="7">
        <v>44559</v>
      </c>
      <c r="B13" t="s">
        <v>75</v>
      </c>
      <c r="C13">
        <v>16101</v>
      </c>
      <c r="D13">
        <v>265</v>
      </c>
      <c r="E13">
        <v>60.6</v>
      </c>
      <c r="F13">
        <v>25.6</v>
      </c>
      <c r="G13">
        <v>2381</v>
      </c>
      <c r="H13">
        <v>5</v>
      </c>
      <c r="I13">
        <v>30.3</v>
      </c>
      <c r="J13">
        <v>41</v>
      </c>
      <c r="K13" t="s">
        <v>58</v>
      </c>
      <c r="L13" t="s">
        <v>58</v>
      </c>
      <c r="M13">
        <v>0.02</v>
      </c>
      <c r="N13" s="51" t="s">
        <v>277</v>
      </c>
    </row>
  </sheetData>
  <autoFilter ref="A1:N13" xr:uid="{696225FF-B9AF-4C7C-94DA-C22838A132E8}">
    <sortState xmlns:xlrd2="http://schemas.microsoft.com/office/spreadsheetml/2017/richdata2" ref="A2:N13">
      <sortCondition ref="C1:C9"/>
    </sortState>
  </autoFilter>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6601-78AB-49FB-9FE5-02006E2521EC}">
  <sheetPr filterMode="1">
    <tabColor theme="9" tint="-0.249977111117893"/>
  </sheetPr>
  <dimension ref="A1:O17"/>
  <sheetViews>
    <sheetView workbookViewId="0">
      <selection activeCell="B2" sqref="A1:O17"/>
    </sheetView>
  </sheetViews>
  <sheetFormatPr defaultRowHeight="14.5" x14ac:dyDescent="0.35"/>
  <cols>
    <col min="1" max="1" width="10.08984375" bestFit="1" customWidth="1"/>
    <col min="2" max="2" width="12.54296875" bestFit="1" customWidth="1"/>
    <col min="14" max="14" width="13.90625" bestFit="1" customWidth="1"/>
  </cols>
  <sheetData>
    <row r="1" spans="1:15" s="3" customFormat="1" x14ac:dyDescent="0.35">
      <c r="A1" s="3" t="s">
        <v>38</v>
      </c>
      <c r="B1" s="3" t="s">
        <v>31</v>
      </c>
      <c r="C1" s="3" t="s">
        <v>32</v>
      </c>
      <c r="D1" s="3" t="s">
        <v>3</v>
      </c>
      <c r="E1" s="3" t="s">
        <v>4</v>
      </c>
      <c r="F1" s="3" t="s">
        <v>5</v>
      </c>
      <c r="G1" s="3" t="s">
        <v>6</v>
      </c>
      <c r="H1" s="3" t="s">
        <v>7</v>
      </c>
      <c r="I1" s="3" t="s">
        <v>17</v>
      </c>
      <c r="J1" s="3" t="s">
        <v>19</v>
      </c>
      <c r="K1" s="3" t="s">
        <v>8</v>
      </c>
      <c r="L1" s="3" t="s">
        <v>10</v>
      </c>
      <c r="M1" s="3" t="s">
        <v>24</v>
      </c>
      <c r="N1" s="3" t="s">
        <v>284</v>
      </c>
    </row>
    <row r="2" spans="1:15" x14ac:dyDescent="0.35">
      <c r="A2" s="7">
        <v>44559</v>
      </c>
      <c r="B2" t="s">
        <v>76</v>
      </c>
      <c r="C2">
        <v>222</v>
      </c>
      <c r="D2">
        <v>4.55</v>
      </c>
      <c r="E2">
        <v>45.3</v>
      </c>
      <c r="F2">
        <v>45.4</v>
      </c>
      <c r="G2">
        <v>66.599999999999994</v>
      </c>
      <c r="H2">
        <v>1</v>
      </c>
      <c r="I2">
        <v>17.5</v>
      </c>
      <c r="J2">
        <v>24</v>
      </c>
      <c r="K2" t="s">
        <v>58</v>
      </c>
      <c r="L2" t="s">
        <v>58</v>
      </c>
      <c r="M2">
        <v>0.7</v>
      </c>
      <c r="N2" s="57" t="s">
        <v>287</v>
      </c>
    </row>
    <row r="3" spans="1:15" x14ac:dyDescent="0.35">
      <c r="A3" s="7">
        <v>44559</v>
      </c>
      <c r="B3" t="s">
        <v>77</v>
      </c>
      <c r="C3">
        <v>310</v>
      </c>
      <c r="D3">
        <v>4.6900000000000004</v>
      </c>
      <c r="E3">
        <v>66.3</v>
      </c>
      <c r="F3">
        <v>45.4</v>
      </c>
      <c r="G3">
        <v>96</v>
      </c>
      <c r="H3">
        <v>10</v>
      </c>
      <c r="I3">
        <v>41</v>
      </c>
      <c r="J3">
        <v>40</v>
      </c>
      <c r="K3" t="s">
        <v>58</v>
      </c>
      <c r="L3" t="s">
        <v>58</v>
      </c>
      <c r="M3">
        <v>0.65</v>
      </c>
      <c r="N3" s="57" t="s">
        <v>287</v>
      </c>
      <c r="O3" t="s">
        <v>305</v>
      </c>
    </row>
    <row r="4" spans="1:15" x14ac:dyDescent="0.35">
      <c r="A4" s="7">
        <v>44559</v>
      </c>
      <c r="B4" t="s">
        <v>78</v>
      </c>
      <c r="C4">
        <v>596</v>
      </c>
      <c r="D4">
        <v>11.6</v>
      </c>
      <c r="E4">
        <v>51.4</v>
      </c>
      <c r="F4">
        <v>43</v>
      </c>
      <c r="G4">
        <v>53</v>
      </c>
      <c r="H4">
        <v>1</v>
      </c>
      <c r="I4">
        <v>43.1</v>
      </c>
      <c r="J4">
        <v>70</v>
      </c>
      <c r="K4" t="s">
        <v>58</v>
      </c>
      <c r="L4" t="s">
        <v>58</v>
      </c>
      <c r="M4">
        <v>0</v>
      </c>
      <c r="N4" s="58" t="s">
        <v>286</v>
      </c>
    </row>
    <row r="5" spans="1:15" x14ac:dyDescent="0.35">
      <c r="A5" s="7">
        <v>44559</v>
      </c>
      <c r="B5" t="s">
        <v>79</v>
      </c>
      <c r="C5">
        <v>326</v>
      </c>
      <c r="D5">
        <v>7.4</v>
      </c>
      <c r="E5">
        <v>44.1</v>
      </c>
      <c r="F5">
        <v>24.2</v>
      </c>
      <c r="G5">
        <v>44.6</v>
      </c>
      <c r="H5">
        <v>2</v>
      </c>
      <c r="I5">
        <v>10.4</v>
      </c>
      <c r="J5">
        <v>32</v>
      </c>
      <c r="K5" t="s">
        <v>58</v>
      </c>
      <c r="L5" t="s">
        <v>58</v>
      </c>
      <c r="M5">
        <v>0.66</v>
      </c>
      <c r="N5" s="58" t="s">
        <v>286</v>
      </c>
    </row>
    <row r="6" spans="1:15" x14ac:dyDescent="0.35">
      <c r="A6" s="7">
        <v>44559</v>
      </c>
      <c r="B6" t="s">
        <v>80</v>
      </c>
      <c r="C6">
        <v>101</v>
      </c>
      <c r="D6">
        <v>-0.59</v>
      </c>
      <c r="F6">
        <v>45.4</v>
      </c>
      <c r="G6">
        <v>34.700000000000003</v>
      </c>
      <c r="H6">
        <v>10</v>
      </c>
      <c r="I6">
        <v>24.2</v>
      </c>
      <c r="J6">
        <v>26</v>
      </c>
      <c r="K6" t="s">
        <v>58</v>
      </c>
      <c r="L6" t="s">
        <v>58</v>
      </c>
      <c r="M6">
        <v>0</v>
      </c>
      <c r="N6" s="57" t="s">
        <v>287</v>
      </c>
    </row>
    <row r="7" spans="1:15" hidden="1" x14ac:dyDescent="0.35">
      <c r="A7" s="7">
        <v>44559</v>
      </c>
      <c r="B7" t="s">
        <v>245</v>
      </c>
      <c r="C7">
        <v>124</v>
      </c>
      <c r="D7">
        <v>15.8</v>
      </c>
      <c r="E7">
        <v>7.87</v>
      </c>
      <c r="F7">
        <v>41.4</v>
      </c>
      <c r="G7">
        <v>134</v>
      </c>
      <c r="H7">
        <v>10</v>
      </c>
      <c r="I7">
        <v>28.4</v>
      </c>
      <c r="J7">
        <v>10</v>
      </c>
      <c r="K7" t="s">
        <v>58</v>
      </c>
      <c r="L7" t="s">
        <v>58</v>
      </c>
      <c r="M7">
        <v>4.9400000000000004</v>
      </c>
    </row>
    <row r="8" spans="1:15" hidden="1" x14ac:dyDescent="0.35">
      <c r="A8" s="7">
        <v>44559</v>
      </c>
      <c r="B8" t="s">
        <v>156</v>
      </c>
      <c r="C8">
        <v>62</v>
      </c>
      <c r="D8">
        <v>10.5</v>
      </c>
      <c r="E8">
        <v>6.3</v>
      </c>
      <c r="F8">
        <v>41.4</v>
      </c>
      <c r="G8">
        <v>104</v>
      </c>
      <c r="H8">
        <v>10</v>
      </c>
      <c r="I8">
        <v>31</v>
      </c>
      <c r="J8">
        <v>-4</v>
      </c>
      <c r="K8" t="s">
        <v>69</v>
      </c>
      <c r="L8" t="s">
        <v>58</v>
      </c>
      <c r="M8">
        <v>4.03</v>
      </c>
    </row>
    <row r="9" spans="1:15" x14ac:dyDescent="0.35">
      <c r="A9" s="7">
        <f t="shared" ref="A9:A17" ca="1" si="0">TODAY()</f>
        <v>44571</v>
      </c>
      <c r="B9" t="s">
        <v>246</v>
      </c>
      <c r="C9">
        <v>554</v>
      </c>
      <c r="D9">
        <v>26.9</v>
      </c>
      <c r="E9">
        <v>20.6</v>
      </c>
      <c r="F9">
        <v>41.5</v>
      </c>
      <c r="G9">
        <v>218</v>
      </c>
      <c r="H9">
        <v>10</v>
      </c>
      <c r="I9">
        <v>27</v>
      </c>
      <c r="J9">
        <v>25</v>
      </c>
      <c r="K9" t="s">
        <v>58</v>
      </c>
      <c r="L9" t="s">
        <v>58</v>
      </c>
      <c r="M9">
        <v>1.99</v>
      </c>
      <c r="N9" s="57" t="s">
        <v>287</v>
      </c>
    </row>
    <row r="10" spans="1:15" x14ac:dyDescent="0.35">
      <c r="A10" s="7">
        <f t="shared" ca="1" si="0"/>
        <v>44571</v>
      </c>
      <c r="B10" t="s">
        <v>267</v>
      </c>
      <c r="C10">
        <v>1330</v>
      </c>
      <c r="D10">
        <v>2.99</v>
      </c>
      <c r="E10">
        <v>518</v>
      </c>
      <c r="F10">
        <v>41.5</v>
      </c>
      <c r="G10">
        <v>15.8</v>
      </c>
      <c r="H10">
        <v>10</v>
      </c>
      <c r="I10">
        <v>68</v>
      </c>
      <c r="J10">
        <v>219</v>
      </c>
      <c r="K10" t="s">
        <v>58</v>
      </c>
      <c r="L10" t="s">
        <v>58</v>
      </c>
      <c r="M10">
        <v>0</v>
      </c>
      <c r="N10" s="57" t="s">
        <v>287</v>
      </c>
    </row>
    <row r="11" spans="1:15" x14ac:dyDescent="0.35">
      <c r="A11" s="7">
        <f t="shared" ca="1" si="0"/>
        <v>44571</v>
      </c>
      <c r="B11" t="s">
        <v>268</v>
      </c>
      <c r="C11">
        <v>1741</v>
      </c>
      <c r="D11">
        <v>12.2</v>
      </c>
      <c r="E11">
        <v>143</v>
      </c>
      <c r="F11">
        <v>41.5</v>
      </c>
      <c r="G11">
        <v>87.7</v>
      </c>
      <c r="H11">
        <v>10</v>
      </c>
      <c r="I11">
        <v>39</v>
      </c>
      <c r="J11">
        <v>98</v>
      </c>
      <c r="K11" t="s">
        <v>58</v>
      </c>
      <c r="L11" t="s">
        <v>58</v>
      </c>
      <c r="M11">
        <v>0</v>
      </c>
      <c r="N11" s="57" t="s">
        <v>287</v>
      </c>
    </row>
    <row r="12" spans="1:15" hidden="1" x14ac:dyDescent="0.35">
      <c r="A12" s="7">
        <f t="shared" ca="1" si="0"/>
        <v>44571</v>
      </c>
      <c r="B12" t="s">
        <v>214</v>
      </c>
      <c r="C12">
        <v>385</v>
      </c>
      <c r="D12">
        <v>82.7</v>
      </c>
      <c r="E12">
        <v>6.79</v>
      </c>
      <c r="F12">
        <v>5.0999999999999996</v>
      </c>
      <c r="G12">
        <v>223</v>
      </c>
      <c r="H12">
        <v>10</v>
      </c>
      <c r="I12">
        <v>6</v>
      </c>
      <c r="J12">
        <v>-2</v>
      </c>
      <c r="K12" t="s">
        <v>69</v>
      </c>
      <c r="L12" t="s">
        <v>58</v>
      </c>
      <c r="M12">
        <v>11.4</v>
      </c>
    </row>
    <row r="13" spans="1:15" hidden="1" x14ac:dyDescent="0.35">
      <c r="A13" s="7">
        <f t="shared" ca="1" si="0"/>
        <v>44571</v>
      </c>
      <c r="B13" t="s">
        <v>218</v>
      </c>
      <c r="C13">
        <v>112</v>
      </c>
      <c r="D13">
        <v>27.3</v>
      </c>
      <c r="E13">
        <v>4.08</v>
      </c>
      <c r="F13">
        <v>5.0999999999999996</v>
      </c>
      <c r="G13">
        <v>136</v>
      </c>
      <c r="H13">
        <v>10</v>
      </c>
      <c r="I13">
        <v>10</v>
      </c>
      <c r="J13">
        <v>-7</v>
      </c>
      <c r="K13" t="s">
        <v>69</v>
      </c>
      <c r="L13" t="s">
        <v>58</v>
      </c>
      <c r="M13">
        <v>10.8</v>
      </c>
    </row>
    <row r="14" spans="1:15" x14ac:dyDescent="0.35">
      <c r="A14" s="7">
        <f t="shared" ca="1" si="0"/>
        <v>44571</v>
      </c>
      <c r="B14" t="s">
        <v>63</v>
      </c>
      <c r="C14">
        <v>2368</v>
      </c>
      <c r="D14">
        <v>82</v>
      </c>
      <c r="E14">
        <v>31</v>
      </c>
      <c r="F14">
        <v>5.0999999999999996</v>
      </c>
      <c r="H14">
        <v>10</v>
      </c>
      <c r="I14">
        <v>16</v>
      </c>
      <c r="J14">
        <v>35</v>
      </c>
      <c r="K14" t="s">
        <v>58</v>
      </c>
      <c r="L14" t="s">
        <v>58</v>
      </c>
      <c r="M14">
        <v>0.3</v>
      </c>
      <c r="N14" s="57" t="s">
        <v>287</v>
      </c>
    </row>
    <row r="15" spans="1:15" hidden="1" x14ac:dyDescent="0.35">
      <c r="A15" s="7">
        <f t="shared" ca="1" si="0"/>
        <v>44571</v>
      </c>
      <c r="B15" t="s">
        <v>269</v>
      </c>
      <c r="C15">
        <v>204</v>
      </c>
      <c r="D15">
        <v>23.3</v>
      </c>
      <c r="E15">
        <v>10.3</v>
      </c>
      <c r="F15">
        <v>41.5</v>
      </c>
      <c r="G15">
        <v>111</v>
      </c>
      <c r="H15">
        <v>10</v>
      </c>
      <c r="I15">
        <v>86</v>
      </c>
      <c r="J15">
        <v>8</v>
      </c>
      <c r="K15" t="s">
        <v>58</v>
      </c>
      <c r="L15" t="s">
        <v>58</v>
      </c>
      <c r="M15">
        <v>4.7699999999999996</v>
      </c>
    </row>
    <row r="16" spans="1:15" hidden="1" x14ac:dyDescent="0.35">
      <c r="A16" s="7">
        <f t="shared" ca="1" si="0"/>
        <v>44571</v>
      </c>
    </row>
    <row r="17" spans="1:1" hidden="1" x14ac:dyDescent="0.35">
      <c r="A17" s="7">
        <f t="shared" ca="1" si="0"/>
        <v>44571</v>
      </c>
    </row>
  </sheetData>
  <autoFilter ref="A1:N17" xr:uid="{3CBD6601-78AB-49FB-9FE5-02006E2521EC}">
    <filterColumn colId="9">
      <customFilters>
        <customFilter operator="greaterThan" val="15"/>
      </customFilters>
    </filterColumn>
  </autoFilter>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CED5-4B2A-484F-9A9B-39E808B99801}">
  <sheetPr>
    <tabColor rgb="FF7030A0"/>
  </sheetPr>
  <dimension ref="A1:N18"/>
  <sheetViews>
    <sheetView workbookViewId="0">
      <selection activeCell="B10" sqref="B10:C10"/>
    </sheetView>
  </sheetViews>
  <sheetFormatPr defaultRowHeight="14.5" x14ac:dyDescent="0.35"/>
  <cols>
    <col min="1" max="1" width="10.08984375" bestFit="1" customWidth="1"/>
    <col min="2" max="2" width="12.6328125" bestFit="1" customWidth="1"/>
    <col min="14" max="14" width="15.6328125" bestFit="1" customWidth="1"/>
  </cols>
  <sheetData>
    <row r="1" spans="1:14" s="3" customFormat="1" x14ac:dyDescent="0.35">
      <c r="A1" s="3" t="s">
        <v>38</v>
      </c>
      <c r="B1" s="3" t="s">
        <v>31</v>
      </c>
      <c r="C1" s="3" t="s">
        <v>32</v>
      </c>
      <c r="D1" s="3" t="s">
        <v>3</v>
      </c>
      <c r="E1" s="3" t="s">
        <v>4</v>
      </c>
      <c r="F1" s="3" t="s">
        <v>5</v>
      </c>
      <c r="G1" s="3" t="s">
        <v>6</v>
      </c>
      <c r="H1" s="3" t="s">
        <v>7</v>
      </c>
      <c r="I1" s="3" t="s">
        <v>17</v>
      </c>
      <c r="J1" s="3" t="s">
        <v>19</v>
      </c>
      <c r="K1" s="3" t="s">
        <v>8</v>
      </c>
      <c r="L1" s="3" t="s">
        <v>10</v>
      </c>
      <c r="M1" s="3" t="s">
        <v>24</v>
      </c>
      <c r="N1" s="3" t="s">
        <v>33</v>
      </c>
    </row>
    <row r="2" spans="1:14" x14ac:dyDescent="0.35">
      <c r="A2" s="7">
        <v>44559</v>
      </c>
      <c r="B2" t="s">
        <v>50</v>
      </c>
      <c r="C2">
        <v>480</v>
      </c>
      <c r="D2">
        <v>-40.299999999999997</v>
      </c>
      <c r="F2">
        <v>341</v>
      </c>
      <c r="G2">
        <v>135</v>
      </c>
      <c r="H2">
        <v>2</v>
      </c>
      <c r="I2">
        <v>11.9</v>
      </c>
      <c r="J2">
        <v>11</v>
      </c>
      <c r="K2" t="s">
        <v>58</v>
      </c>
      <c r="L2" t="s">
        <v>58</v>
      </c>
      <c r="M2">
        <v>0</v>
      </c>
      <c r="N2" s="57" t="s">
        <v>287</v>
      </c>
    </row>
    <row r="3" spans="1:14" x14ac:dyDescent="0.35">
      <c r="A3" s="7">
        <v>44559</v>
      </c>
      <c r="B3" t="s">
        <v>51</v>
      </c>
      <c r="C3">
        <v>839</v>
      </c>
      <c r="D3">
        <v>33.200000000000003</v>
      </c>
      <c r="E3">
        <v>24.3</v>
      </c>
      <c r="F3">
        <v>255</v>
      </c>
      <c r="G3">
        <v>347</v>
      </c>
      <c r="H3">
        <v>5</v>
      </c>
      <c r="I3">
        <v>14.1</v>
      </c>
      <c r="J3">
        <v>7</v>
      </c>
      <c r="K3" t="s">
        <v>58</v>
      </c>
      <c r="L3" t="s">
        <v>58</v>
      </c>
      <c r="M3">
        <v>1.04</v>
      </c>
      <c r="N3" t="s">
        <v>288</v>
      </c>
    </row>
    <row r="4" spans="1:14" x14ac:dyDescent="0.35">
      <c r="A4" s="7">
        <v>44559</v>
      </c>
      <c r="B4" t="s">
        <v>81</v>
      </c>
      <c r="C4">
        <v>3176</v>
      </c>
      <c r="D4">
        <v>224</v>
      </c>
      <c r="E4">
        <v>15.2</v>
      </c>
      <c r="F4">
        <v>15.2</v>
      </c>
      <c r="G4">
        <v>934</v>
      </c>
      <c r="H4">
        <v>10</v>
      </c>
      <c r="I4">
        <v>17.100000000000001</v>
      </c>
      <c r="J4">
        <v>4</v>
      </c>
      <c r="K4" t="s">
        <v>58</v>
      </c>
      <c r="L4" t="s">
        <v>58</v>
      </c>
      <c r="M4">
        <v>4.41</v>
      </c>
      <c r="N4" s="57" t="s">
        <v>287</v>
      </c>
    </row>
    <row r="5" spans="1:14" x14ac:dyDescent="0.35">
      <c r="A5" s="7">
        <v>44559</v>
      </c>
      <c r="B5" t="s">
        <v>82</v>
      </c>
      <c r="C5">
        <v>611</v>
      </c>
      <c r="D5">
        <v>17.399999999999999</v>
      </c>
      <c r="E5">
        <v>34.4</v>
      </c>
      <c r="F5">
        <v>30.6</v>
      </c>
      <c r="G5">
        <v>84.5</v>
      </c>
      <c r="H5">
        <v>1</v>
      </c>
      <c r="I5">
        <v>11.5</v>
      </c>
      <c r="J5">
        <v>11</v>
      </c>
      <c r="K5" t="s">
        <v>58</v>
      </c>
      <c r="L5" t="s">
        <v>58</v>
      </c>
      <c r="M5">
        <v>0.56999999999999995</v>
      </c>
      <c r="N5" s="57" t="s">
        <v>287</v>
      </c>
    </row>
    <row r="6" spans="1:14" x14ac:dyDescent="0.35">
      <c r="A6" s="7">
        <v>44559</v>
      </c>
      <c r="B6" t="s">
        <v>83</v>
      </c>
      <c r="C6">
        <v>908</v>
      </c>
      <c r="D6">
        <v>26.8</v>
      </c>
      <c r="E6">
        <v>33.6</v>
      </c>
      <c r="F6">
        <v>28.5</v>
      </c>
      <c r="G6">
        <v>642</v>
      </c>
      <c r="H6">
        <v>10</v>
      </c>
      <c r="I6">
        <v>16.5</v>
      </c>
      <c r="J6">
        <v>33</v>
      </c>
      <c r="K6" t="s">
        <v>58</v>
      </c>
      <c r="L6" t="s">
        <v>58</v>
      </c>
      <c r="M6">
        <v>1.1000000000000001</v>
      </c>
      <c r="N6" s="57" t="s">
        <v>287</v>
      </c>
    </row>
    <row r="7" spans="1:14" x14ac:dyDescent="0.35">
      <c r="A7" s="7">
        <v>44559</v>
      </c>
      <c r="B7" t="s">
        <v>84</v>
      </c>
      <c r="C7">
        <v>618</v>
      </c>
      <c r="D7">
        <v>38.1</v>
      </c>
      <c r="E7">
        <v>16.2</v>
      </c>
      <c r="F7">
        <v>22.6</v>
      </c>
      <c r="G7">
        <v>256</v>
      </c>
      <c r="H7">
        <v>1</v>
      </c>
      <c r="I7">
        <v>13.9</v>
      </c>
      <c r="J7">
        <v>-7</v>
      </c>
      <c r="K7" t="s">
        <v>69</v>
      </c>
      <c r="L7" t="s">
        <v>69</v>
      </c>
      <c r="M7">
        <v>1.78</v>
      </c>
      <c r="N7" t="s">
        <v>286</v>
      </c>
    </row>
    <row r="8" spans="1:14" x14ac:dyDescent="0.35">
      <c r="A8" s="7">
        <v>44559</v>
      </c>
      <c r="B8" t="s">
        <v>54</v>
      </c>
      <c r="C8">
        <v>168</v>
      </c>
      <c r="D8">
        <v>9.33</v>
      </c>
      <c r="E8">
        <v>18.100000000000001</v>
      </c>
      <c r="F8">
        <v>22.6</v>
      </c>
      <c r="G8">
        <v>89.6</v>
      </c>
      <c r="H8">
        <v>1</v>
      </c>
      <c r="I8">
        <v>9.5299999999999994</v>
      </c>
      <c r="J8">
        <v>-1</v>
      </c>
      <c r="K8" t="s">
        <v>69</v>
      </c>
      <c r="L8" t="s">
        <v>58</v>
      </c>
      <c r="M8">
        <v>1.19</v>
      </c>
      <c r="N8" s="57" t="s">
        <v>287</v>
      </c>
    </row>
    <row r="9" spans="1:14" x14ac:dyDescent="0.35">
      <c r="A9" s="7">
        <v>44559</v>
      </c>
      <c r="B9" t="s">
        <v>85</v>
      </c>
      <c r="C9">
        <v>5529</v>
      </c>
      <c r="D9">
        <v>73.7</v>
      </c>
      <c r="E9">
        <v>75</v>
      </c>
      <c r="F9">
        <v>35.1</v>
      </c>
      <c r="G9">
        <v>207</v>
      </c>
      <c r="H9">
        <v>10</v>
      </c>
      <c r="I9">
        <v>30</v>
      </c>
      <c r="J9">
        <v>52</v>
      </c>
      <c r="K9" t="s">
        <v>58</v>
      </c>
      <c r="L9" t="s">
        <v>58</v>
      </c>
      <c r="M9">
        <v>0.43</v>
      </c>
      <c r="N9" s="57" t="s">
        <v>287</v>
      </c>
    </row>
    <row r="10" spans="1:14" x14ac:dyDescent="0.35">
      <c r="A10" s="7">
        <v>44559</v>
      </c>
      <c r="B10" t="s">
        <v>86</v>
      </c>
      <c r="C10">
        <v>581</v>
      </c>
      <c r="D10">
        <v>8</v>
      </c>
      <c r="E10">
        <v>72.8</v>
      </c>
      <c r="F10">
        <v>35.1</v>
      </c>
      <c r="G10">
        <v>46.5</v>
      </c>
      <c r="H10">
        <v>10</v>
      </c>
      <c r="I10">
        <v>16.8</v>
      </c>
      <c r="J10">
        <v>50</v>
      </c>
      <c r="K10" t="s">
        <v>58</v>
      </c>
      <c r="L10" t="s">
        <v>58</v>
      </c>
      <c r="M10">
        <v>0.26</v>
      </c>
      <c r="N10" s="57" t="s">
        <v>287</v>
      </c>
    </row>
    <row r="11" spans="1:14" x14ac:dyDescent="0.35">
      <c r="A11" s="7"/>
    </row>
    <row r="12" spans="1:14" x14ac:dyDescent="0.35">
      <c r="A12" s="7"/>
    </row>
    <row r="13" spans="1:14" x14ac:dyDescent="0.35">
      <c r="A13" s="7"/>
    </row>
    <row r="14" spans="1:14" x14ac:dyDescent="0.35">
      <c r="A14" s="7"/>
    </row>
    <row r="15" spans="1:14" x14ac:dyDescent="0.35">
      <c r="A15" s="7"/>
    </row>
    <row r="16" spans="1:14" x14ac:dyDescent="0.35">
      <c r="A16" s="7"/>
    </row>
    <row r="17" spans="1:1" x14ac:dyDescent="0.35">
      <c r="A17" s="7"/>
    </row>
    <row r="18" spans="1:1" x14ac:dyDescent="0.35">
      <c r="A18" s="7"/>
    </row>
  </sheetData>
  <autoFilter ref="A1:N10" xr:uid="{21DECED5-4B2A-484F-9A9B-39E808B99801}"/>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7A9D-86A0-4ADE-9F01-9037F9312145}">
  <sheetPr>
    <tabColor rgb="FFFFC000"/>
  </sheetPr>
  <dimension ref="A1:N19"/>
  <sheetViews>
    <sheetView workbookViewId="0">
      <selection activeCell="B2" sqref="B2:C2"/>
    </sheetView>
  </sheetViews>
  <sheetFormatPr defaultRowHeight="14.5" x14ac:dyDescent="0.35"/>
  <cols>
    <col min="1" max="1" width="10.08984375" bestFit="1" customWidth="1"/>
    <col min="2" max="2" width="12.90625" bestFit="1" customWidth="1"/>
    <col min="14" max="14" width="11.6328125" bestFit="1" customWidth="1"/>
  </cols>
  <sheetData>
    <row r="1" spans="1:14" s="3" customFormat="1" x14ac:dyDescent="0.35">
      <c r="A1" s="3" t="s">
        <v>38</v>
      </c>
      <c r="B1" s="3" t="s">
        <v>31</v>
      </c>
      <c r="C1" s="3" t="s">
        <v>32</v>
      </c>
      <c r="D1" s="3" t="s">
        <v>3</v>
      </c>
      <c r="E1" s="3" t="s">
        <v>4</v>
      </c>
      <c r="F1" s="3" t="s">
        <v>5</v>
      </c>
      <c r="G1" s="3" t="s">
        <v>6</v>
      </c>
      <c r="H1" s="3" t="s">
        <v>7</v>
      </c>
      <c r="I1" s="3" t="s">
        <v>17</v>
      </c>
      <c r="J1" s="3" t="s">
        <v>19</v>
      </c>
      <c r="K1" s="3" t="s">
        <v>8</v>
      </c>
      <c r="L1" s="3" t="s">
        <v>10</v>
      </c>
      <c r="M1" s="3" t="s">
        <v>24</v>
      </c>
      <c r="N1" s="3" t="s">
        <v>284</v>
      </c>
    </row>
    <row r="2" spans="1:14" x14ac:dyDescent="0.35">
      <c r="A2" s="7">
        <f ca="1">TODAY()</f>
        <v>44571</v>
      </c>
      <c r="B2" t="s">
        <v>276</v>
      </c>
      <c r="C2">
        <v>336</v>
      </c>
      <c r="D2">
        <v>19.2</v>
      </c>
      <c r="E2">
        <v>17.5</v>
      </c>
      <c r="F2">
        <v>19.600000000000001</v>
      </c>
      <c r="G2">
        <v>95.2</v>
      </c>
      <c r="H2">
        <v>1</v>
      </c>
      <c r="I2">
        <v>22</v>
      </c>
      <c r="J2">
        <v>25</v>
      </c>
      <c r="K2" t="s">
        <v>58</v>
      </c>
      <c r="L2" t="s">
        <v>58</v>
      </c>
      <c r="M2">
        <v>0.45</v>
      </c>
      <c r="N2" s="57" t="s">
        <v>287</v>
      </c>
    </row>
    <row r="3" spans="1:14" x14ac:dyDescent="0.35">
      <c r="A3" s="7">
        <v>44559</v>
      </c>
      <c r="B3" t="s">
        <v>89</v>
      </c>
      <c r="C3">
        <v>519</v>
      </c>
      <c r="D3">
        <v>22.7</v>
      </c>
      <c r="E3">
        <v>22.8</v>
      </c>
      <c r="F3">
        <v>19.899999999999999</v>
      </c>
      <c r="G3">
        <v>101</v>
      </c>
      <c r="H3">
        <v>10</v>
      </c>
      <c r="I3">
        <v>15.5</v>
      </c>
      <c r="J3">
        <v>28</v>
      </c>
      <c r="K3" t="s">
        <v>58</v>
      </c>
      <c r="L3" t="s">
        <v>58</v>
      </c>
      <c r="M3">
        <v>0.48</v>
      </c>
      <c r="N3" s="58" t="s">
        <v>286</v>
      </c>
    </row>
    <row r="4" spans="1:14" x14ac:dyDescent="0.35">
      <c r="A4" s="7">
        <f ca="1">TODAY()</f>
        <v>44571</v>
      </c>
      <c r="B4" t="s">
        <v>143</v>
      </c>
      <c r="C4">
        <v>539</v>
      </c>
      <c r="D4">
        <v>18.2</v>
      </c>
      <c r="E4">
        <v>29.6</v>
      </c>
      <c r="F4">
        <v>28.9</v>
      </c>
      <c r="G4">
        <v>57.5</v>
      </c>
      <c r="H4">
        <v>2</v>
      </c>
      <c r="I4">
        <v>31</v>
      </c>
      <c r="J4">
        <v>41</v>
      </c>
      <c r="K4" t="s">
        <v>58</v>
      </c>
      <c r="L4" t="s">
        <v>58</v>
      </c>
      <c r="M4">
        <v>0.37</v>
      </c>
      <c r="N4" s="57" t="s">
        <v>287</v>
      </c>
    </row>
    <row r="5" spans="1:14" x14ac:dyDescent="0.35">
      <c r="A5" s="7">
        <v>44559</v>
      </c>
      <c r="B5" t="s">
        <v>93</v>
      </c>
      <c r="C5">
        <v>564</v>
      </c>
      <c r="D5">
        <v>4.37</v>
      </c>
      <c r="E5">
        <v>129</v>
      </c>
      <c r="F5">
        <v>70.2</v>
      </c>
      <c r="G5">
        <v>60.9</v>
      </c>
      <c r="H5">
        <v>10</v>
      </c>
      <c r="I5">
        <v>-1.51</v>
      </c>
      <c r="J5">
        <v>13</v>
      </c>
      <c r="K5" t="s">
        <v>58</v>
      </c>
      <c r="L5" t="s">
        <v>58</v>
      </c>
      <c r="M5">
        <v>0.35</v>
      </c>
      <c r="N5" s="54" t="s">
        <v>287</v>
      </c>
    </row>
    <row r="6" spans="1:14" x14ac:dyDescent="0.35">
      <c r="A6" s="7">
        <v>44559</v>
      </c>
      <c r="B6" t="s">
        <v>12</v>
      </c>
      <c r="C6">
        <v>642</v>
      </c>
      <c r="D6">
        <v>5.74</v>
      </c>
      <c r="E6">
        <v>112</v>
      </c>
      <c r="F6">
        <v>70.2</v>
      </c>
      <c r="G6">
        <v>44</v>
      </c>
      <c r="H6">
        <v>10</v>
      </c>
      <c r="I6">
        <v>1.03</v>
      </c>
      <c r="J6">
        <v>18</v>
      </c>
      <c r="K6" t="s">
        <v>58</v>
      </c>
      <c r="L6" t="s">
        <v>58</v>
      </c>
      <c r="M6">
        <v>0.31</v>
      </c>
      <c r="N6" s="58" t="s">
        <v>286</v>
      </c>
    </row>
    <row r="7" spans="1:14" x14ac:dyDescent="0.35">
      <c r="A7" s="7">
        <f ca="1">TODAY()</f>
        <v>44571</v>
      </c>
      <c r="B7" t="s">
        <v>15</v>
      </c>
      <c r="C7">
        <v>846</v>
      </c>
      <c r="D7">
        <v>26</v>
      </c>
      <c r="E7">
        <v>32.5</v>
      </c>
      <c r="F7">
        <v>29.6</v>
      </c>
      <c r="G7">
        <v>206</v>
      </c>
      <c r="H7">
        <v>1</v>
      </c>
      <c r="I7">
        <v>27</v>
      </c>
      <c r="J7">
        <v>6</v>
      </c>
      <c r="K7" t="s">
        <v>58</v>
      </c>
      <c r="L7" t="s">
        <v>58</v>
      </c>
      <c r="M7">
        <v>0.89</v>
      </c>
      <c r="N7" s="57" t="s">
        <v>287</v>
      </c>
    </row>
    <row r="8" spans="1:14" x14ac:dyDescent="0.35">
      <c r="A8" s="7">
        <f ca="1">TODAY()</f>
        <v>44571</v>
      </c>
      <c r="B8" t="s">
        <v>14</v>
      </c>
      <c r="C8">
        <v>944</v>
      </c>
      <c r="D8">
        <v>32.1</v>
      </c>
      <c r="E8">
        <v>29.4</v>
      </c>
      <c r="F8">
        <v>29.6</v>
      </c>
      <c r="G8">
        <v>241</v>
      </c>
      <c r="H8">
        <v>2</v>
      </c>
      <c r="I8">
        <v>22</v>
      </c>
      <c r="J8">
        <v>11</v>
      </c>
      <c r="K8" t="s">
        <v>58</v>
      </c>
      <c r="L8" t="s">
        <v>58</v>
      </c>
      <c r="M8">
        <v>0.53</v>
      </c>
      <c r="N8" s="57" t="s">
        <v>287</v>
      </c>
    </row>
    <row r="9" spans="1:14" x14ac:dyDescent="0.35">
      <c r="A9" s="7">
        <v>44559</v>
      </c>
      <c r="B9" t="s">
        <v>92</v>
      </c>
      <c r="C9">
        <v>1178</v>
      </c>
      <c r="D9">
        <v>12.4</v>
      </c>
      <c r="E9">
        <v>95.4</v>
      </c>
      <c r="F9">
        <v>70.2</v>
      </c>
      <c r="G9">
        <v>109</v>
      </c>
      <c r="H9">
        <v>10</v>
      </c>
      <c r="I9">
        <v>0.54</v>
      </c>
      <c r="J9">
        <v>25</v>
      </c>
      <c r="K9" t="s">
        <v>58</v>
      </c>
      <c r="L9" t="s">
        <v>58</v>
      </c>
      <c r="M9">
        <v>0.21</v>
      </c>
      <c r="N9" s="58" t="s">
        <v>286</v>
      </c>
    </row>
    <row r="10" spans="1:14" x14ac:dyDescent="0.35">
      <c r="A10" s="7">
        <v>44559</v>
      </c>
      <c r="B10" t="s">
        <v>94</v>
      </c>
      <c r="C10">
        <v>1389</v>
      </c>
      <c r="D10">
        <v>27.9</v>
      </c>
      <c r="E10">
        <v>52.4</v>
      </c>
      <c r="F10">
        <v>70.2</v>
      </c>
      <c r="G10">
        <v>180</v>
      </c>
      <c r="H10">
        <v>10</v>
      </c>
      <c r="I10">
        <v>8.59</v>
      </c>
      <c r="J10">
        <v>18</v>
      </c>
      <c r="K10" t="s">
        <v>58</v>
      </c>
      <c r="L10" t="s">
        <v>58</v>
      </c>
      <c r="M10">
        <v>0.57999999999999996</v>
      </c>
      <c r="N10" s="58" t="s">
        <v>286</v>
      </c>
    </row>
    <row r="11" spans="1:14" x14ac:dyDescent="0.35">
      <c r="A11" s="7">
        <f ca="1">TODAY()</f>
        <v>44571</v>
      </c>
      <c r="B11" t="s">
        <v>275</v>
      </c>
      <c r="C11">
        <v>2167</v>
      </c>
      <c r="D11">
        <v>77</v>
      </c>
      <c r="E11">
        <v>27.9</v>
      </c>
      <c r="F11">
        <v>29.6</v>
      </c>
      <c r="G11">
        <v>415</v>
      </c>
      <c r="H11">
        <v>2</v>
      </c>
      <c r="I11">
        <v>24</v>
      </c>
      <c r="J11">
        <v>33</v>
      </c>
      <c r="K11" t="s">
        <v>58</v>
      </c>
      <c r="L11" t="s">
        <v>58</v>
      </c>
      <c r="M11">
        <v>0.37</v>
      </c>
      <c r="N11" s="58" t="s">
        <v>286</v>
      </c>
    </row>
    <row r="12" spans="1:14" x14ac:dyDescent="0.35">
      <c r="A12" s="7">
        <v>44559</v>
      </c>
      <c r="B12" t="s">
        <v>272</v>
      </c>
      <c r="C12">
        <v>3278</v>
      </c>
      <c r="D12">
        <v>74.900000000000006</v>
      </c>
      <c r="E12">
        <v>43.8</v>
      </c>
      <c r="F12">
        <v>29.6</v>
      </c>
      <c r="G12">
        <v>368</v>
      </c>
      <c r="H12">
        <v>5</v>
      </c>
      <c r="I12">
        <v>30</v>
      </c>
      <c r="J12">
        <v>20</v>
      </c>
      <c r="K12" t="s">
        <v>58</v>
      </c>
      <c r="L12" t="s">
        <v>58</v>
      </c>
      <c r="M12">
        <v>1.07</v>
      </c>
      <c r="N12" s="57" t="s">
        <v>287</v>
      </c>
    </row>
    <row r="13" spans="1:14" x14ac:dyDescent="0.35">
      <c r="A13" s="7">
        <v>44559</v>
      </c>
      <c r="B13" t="s">
        <v>90</v>
      </c>
      <c r="C13">
        <v>3564</v>
      </c>
      <c r="D13">
        <v>48.5</v>
      </c>
      <c r="E13">
        <v>73.5</v>
      </c>
      <c r="F13">
        <v>35.5</v>
      </c>
      <c r="G13">
        <v>165</v>
      </c>
      <c r="H13">
        <v>10</v>
      </c>
      <c r="I13">
        <v>29.7</v>
      </c>
      <c r="J13">
        <v>40</v>
      </c>
      <c r="K13" t="s">
        <v>58</v>
      </c>
      <c r="L13" t="s">
        <v>58</v>
      </c>
      <c r="M13">
        <v>0.56000000000000005</v>
      </c>
      <c r="N13" s="54" t="s">
        <v>287</v>
      </c>
    </row>
    <row r="14" spans="1:14" x14ac:dyDescent="0.35">
      <c r="A14" s="7">
        <f ca="1">TODAY()</f>
        <v>44571</v>
      </c>
      <c r="B14" t="s">
        <v>274</v>
      </c>
      <c r="C14">
        <v>3624</v>
      </c>
      <c r="D14">
        <v>142</v>
      </c>
      <c r="E14">
        <v>25</v>
      </c>
      <c r="F14">
        <v>29</v>
      </c>
      <c r="G14">
        <v>697</v>
      </c>
      <c r="H14">
        <v>2</v>
      </c>
      <c r="I14">
        <v>20</v>
      </c>
      <c r="J14">
        <v>17</v>
      </c>
      <c r="K14" t="s">
        <v>58</v>
      </c>
      <c r="L14" t="s">
        <v>58</v>
      </c>
      <c r="M14">
        <v>0.83</v>
      </c>
      <c r="N14" s="57" t="s">
        <v>287</v>
      </c>
    </row>
    <row r="15" spans="1:14" x14ac:dyDescent="0.35">
      <c r="A15" s="7">
        <v>44559</v>
      </c>
      <c r="B15" t="s">
        <v>91</v>
      </c>
      <c r="C15">
        <v>3875</v>
      </c>
      <c r="E15">
        <v>57.2</v>
      </c>
      <c r="F15">
        <v>19.899999999999999</v>
      </c>
      <c r="G15">
        <v>401</v>
      </c>
      <c r="H15">
        <v>1</v>
      </c>
      <c r="I15">
        <v>35.299999999999997</v>
      </c>
      <c r="J15">
        <v>62</v>
      </c>
      <c r="K15" t="s">
        <v>58</v>
      </c>
      <c r="L15" t="s">
        <v>58</v>
      </c>
      <c r="M15">
        <v>0</v>
      </c>
      <c r="N15" s="54" t="s">
        <v>287</v>
      </c>
    </row>
    <row r="16" spans="1:14" x14ac:dyDescent="0.35">
      <c r="A16" s="7">
        <v>44559</v>
      </c>
      <c r="B16" t="s">
        <v>87</v>
      </c>
      <c r="C16">
        <v>4525</v>
      </c>
      <c r="D16">
        <v>80.5</v>
      </c>
      <c r="E16">
        <v>56.2</v>
      </c>
      <c r="F16">
        <v>19.899999999999999</v>
      </c>
      <c r="G16">
        <v>374</v>
      </c>
      <c r="H16">
        <v>2</v>
      </c>
      <c r="I16">
        <v>41.4</v>
      </c>
      <c r="J16">
        <v>42</v>
      </c>
      <c r="K16" t="s">
        <v>58</v>
      </c>
      <c r="L16" t="s">
        <v>58</v>
      </c>
      <c r="M16">
        <v>0.44</v>
      </c>
      <c r="N16" s="58" t="s">
        <v>286</v>
      </c>
    </row>
    <row r="17" spans="1:14" x14ac:dyDescent="0.35">
      <c r="A17" s="7">
        <v>44559</v>
      </c>
      <c r="B17" t="s">
        <v>88</v>
      </c>
      <c r="C17">
        <v>4744</v>
      </c>
      <c r="D17">
        <v>118</v>
      </c>
      <c r="E17">
        <v>40.299999999999997</v>
      </c>
      <c r="F17">
        <v>28.6</v>
      </c>
      <c r="G17">
        <v>1114</v>
      </c>
      <c r="H17">
        <v>5</v>
      </c>
      <c r="I17">
        <v>18</v>
      </c>
      <c r="J17">
        <v>20</v>
      </c>
      <c r="K17" t="s">
        <v>58</v>
      </c>
      <c r="L17" t="s">
        <v>58</v>
      </c>
      <c r="M17">
        <v>0.53</v>
      </c>
      <c r="N17" s="58" t="s">
        <v>286</v>
      </c>
    </row>
    <row r="18" spans="1:14" x14ac:dyDescent="0.35">
      <c r="A18" s="7">
        <f ca="1">TODAY()</f>
        <v>44571</v>
      </c>
      <c r="B18" t="s">
        <v>159</v>
      </c>
      <c r="C18">
        <v>5055</v>
      </c>
      <c r="D18">
        <v>128</v>
      </c>
      <c r="E18">
        <v>39.6</v>
      </c>
      <c r="F18">
        <v>61.7</v>
      </c>
      <c r="G18">
        <v>564</v>
      </c>
      <c r="H18">
        <v>10</v>
      </c>
      <c r="I18">
        <v>31</v>
      </c>
      <c r="J18">
        <v>23</v>
      </c>
      <c r="K18" t="s">
        <v>58</v>
      </c>
      <c r="L18" t="s">
        <v>58</v>
      </c>
      <c r="M18">
        <v>0.59</v>
      </c>
      <c r="N18" s="54" t="s">
        <v>289</v>
      </c>
    </row>
    <row r="19" spans="1:14" x14ac:dyDescent="0.35">
      <c r="A19" s="7">
        <f ca="1">TODAY()</f>
        <v>44571</v>
      </c>
      <c r="B19" t="s">
        <v>273</v>
      </c>
      <c r="C19">
        <v>19486</v>
      </c>
      <c r="D19">
        <v>338</v>
      </c>
      <c r="E19">
        <v>57</v>
      </c>
      <c r="F19">
        <v>61.7</v>
      </c>
      <c r="G19">
        <v>1134</v>
      </c>
      <c r="H19">
        <v>10</v>
      </c>
      <c r="I19">
        <v>21</v>
      </c>
      <c r="J19">
        <v>33</v>
      </c>
      <c r="K19" t="s">
        <v>58</v>
      </c>
      <c r="L19" t="s">
        <v>58</v>
      </c>
      <c r="M19">
        <v>0.62</v>
      </c>
      <c r="N19" s="58" t="s">
        <v>286</v>
      </c>
    </row>
  </sheetData>
  <autoFilter ref="A1:N19" xr:uid="{CADC7A9D-86A0-4ADE-9F01-9037F9312145}">
    <sortState xmlns:xlrd2="http://schemas.microsoft.com/office/spreadsheetml/2017/richdata2" ref="A2:N19">
      <sortCondition ref="C1:C19"/>
    </sortState>
  </autoFilter>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C4EC-BC4E-4D37-AE64-3FC2DDE79BC7}">
  <sheetPr>
    <tabColor rgb="FF00B0F0"/>
  </sheetPr>
  <dimension ref="A1:T165"/>
  <sheetViews>
    <sheetView tabSelected="1" workbookViewId="0">
      <pane ySplit="1" topLeftCell="A118" activePane="bottomLeft" state="frozen"/>
      <selection pane="bottomLeft" activeCell="D128" sqref="D128"/>
    </sheetView>
  </sheetViews>
  <sheetFormatPr defaultRowHeight="14.5" x14ac:dyDescent="0.35"/>
  <cols>
    <col min="2" max="2" width="10.08984375" bestFit="1" customWidth="1"/>
    <col min="3" max="3" width="26.54296875" hidden="1" customWidth="1"/>
    <col min="4" max="4" width="14" customWidth="1"/>
    <col min="16" max="16" width="15.6328125" bestFit="1" customWidth="1"/>
    <col min="17" max="17" width="8.90625" customWidth="1"/>
    <col min="18" max="19" width="9.81640625" customWidth="1"/>
  </cols>
  <sheetData>
    <row r="1" spans="1:20" s="3" customFormat="1" x14ac:dyDescent="0.35">
      <c r="A1" s="3" t="s">
        <v>227</v>
      </c>
      <c r="B1" s="3" t="s">
        <v>38</v>
      </c>
      <c r="C1" s="3" t="s">
        <v>226</v>
      </c>
      <c r="D1" s="3" t="s">
        <v>31</v>
      </c>
      <c r="E1" s="3" t="s">
        <v>32</v>
      </c>
      <c r="F1" s="3" t="s">
        <v>3</v>
      </c>
      <c r="G1" s="3" t="s">
        <v>4</v>
      </c>
      <c r="H1" s="3" t="s">
        <v>5</v>
      </c>
      <c r="I1" s="3" t="s">
        <v>6</v>
      </c>
      <c r="J1" s="3" t="s">
        <v>7</v>
      </c>
      <c r="K1" s="3" t="s">
        <v>17</v>
      </c>
      <c r="L1" s="3" t="s">
        <v>19</v>
      </c>
      <c r="M1" s="3" t="s">
        <v>8</v>
      </c>
      <c r="N1" s="3" t="s">
        <v>10</v>
      </c>
      <c r="O1" s="3" t="s">
        <v>24</v>
      </c>
      <c r="P1" s="3" t="s">
        <v>33</v>
      </c>
      <c r="Q1" s="3" t="s">
        <v>228</v>
      </c>
      <c r="R1" s="3" t="s">
        <v>229</v>
      </c>
      <c r="S1" s="3" t="s">
        <v>242</v>
      </c>
      <c r="T1" s="3" t="s">
        <v>233</v>
      </c>
    </row>
    <row r="2" spans="1:20" s="9" customFormat="1" x14ac:dyDescent="0.35">
      <c r="A2">
        <v>124</v>
      </c>
      <c r="B2" s="7">
        <f ca="1">TODAY()</f>
        <v>44571</v>
      </c>
      <c r="C2" t="s">
        <v>101</v>
      </c>
      <c r="D2" t="s">
        <v>101</v>
      </c>
      <c r="E2">
        <v>2</v>
      </c>
      <c r="F2">
        <v>-1.05</v>
      </c>
      <c r="G2"/>
      <c r="H2">
        <v>54.2</v>
      </c>
      <c r="I2">
        <v>-1.36</v>
      </c>
      <c r="J2">
        <v>10</v>
      </c>
      <c r="K2">
        <v>16</v>
      </c>
      <c r="L2">
        <v>36</v>
      </c>
      <c r="M2" t="s">
        <v>69</v>
      </c>
      <c r="N2" t="s">
        <v>69</v>
      </c>
      <c r="O2">
        <v>0</v>
      </c>
      <c r="P2"/>
      <c r="Q2"/>
      <c r="R2"/>
      <c r="S2"/>
      <c r="T2"/>
    </row>
    <row r="3" spans="1:20" x14ac:dyDescent="0.35">
      <c r="A3">
        <v>128</v>
      </c>
      <c r="B3" s="7">
        <f ca="1">TODAY()</f>
        <v>44571</v>
      </c>
      <c r="C3" t="e" vm="1">
        <v>#VALUE!</v>
      </c>
      <c r="D3" t="s">
        <v>139</v>
      </c>
      <c r="E3">
        <v>3.15</v>
      </c>
      <c r="F3">
        <v>-17.600000000000001</v>
      </c>
      <c r="H3">
        <v>18.2</v>
      </c>
      <c r="I3">
        <v>-31.2</v>
      </c>
      <c r="J3">
        <v>10</v>
      </c>
      <c r="K3">
        <v>-27.7</v>
      </c>
      <c r="L3">
        <v>-10</v>
      </c>
      <c r="M3" t="s">
        <v>69</v>
      </c>
      <c r="N3" t="s">
        <v>58</v>
      </c>
      <c r="O3">
        <v>0</v>
      </c>
    </row>
    <row r="4" spans="1:20" s="9" customFormat="1" x14ac:dyDescent="0.35">
      <c r="A4">
        <v>155</v>
      </c>
      <c r="B4" s="7">
        <f ca="1">TODAY()</f>
        <v>44571</v>
      </c>
      <c r="C4" t="s">
        <v>100</v>
      </c>
      <c r="D4" t="s">
        <v>100</v>
      </c>
      <c r="E4">
        <v>3.4</v>
      </c>
      <c r="F4">
        <v>-5.97</v>
      </c>
      <c r="G4"/>
      <c r="H4">
        <v>35.799999999999997</v>
      </c>
      <c r="I4">
        <v>17.600000000000001</v>
      </c>
      <c r="J4">
        <v>2</v>
      </c>
      <c r="K4">
        <v>-27.1</v>
      </c>
      <c r="L4">
        <v>18</v>
      </c>
      <c r="M4" t="s">
        <v>69</v>
      </c>
      <c r="N4" t="s">
        <v>98</v>
      </c>
      <c r="O4">
        <v>0</v>
      </c>
      <c r="P4"/>
      <c r="Q4"/>
      <c r="R4"/>
      <c r="S4"/>
      <c r="T4"/>
    </row>
    <row r="5" spans="1:20" x14ac:dyDescent="0.35">
      <c r="A5">
        <v>147</v>
      </c>
      <c r="B5" s="7">
        <f ca="1">TODAY()</f>
        <v>44571</v>
      </c>
      <c r="C5" t="s">
        <v>99</v>
      </c>
      <c r="D5" t="s">
        <v>99</v>
      </c>
      <c r="E5">
        <v>3.95</v>
      </c>
      <c r="F5">
        <v>-7.0000000000000007E-2</v>
      </c>
      <c r="H5">
        <v>37.299999999999997</v>
      </c>
      <c r="I5">
        <v>1.93</v>
      </c>
      <c r="J5">
        <v>1</v>
      </c>
      <c r="K5">
        <v>6.76</v>
      </c>
      <c r="L5">
        <v>20</v>
      </c>
      <c r="M5" t="s">
        <v>69</v>
      </c>
      <c r="N5" t="s">
        <v>69</v>
      </c>
      <c r="O5">
        <v>0</v>
      </c>
    </row>
    <row r="6" spans="1:20" x14ac:dyDescent="0.35">
      <c r="A6">
        <v>129</v>
      </c>
      <c r="B6" s="7">
        <f ca="1">TODAY()</f>
        <v>44571</v>
      </c>
      <c r="C6" t="e" vm="2">
        <v>#VALUE!</v>
      </c>
      <c r="D6" t="s">
        <v>138</v>
      </c>
      <c r="E6">
        <v>5.95</v>
      </c>
      <c r="F6">
        <v>0.28999999999999998</v>
      </c>
      <c r="G6">
        <v>37.200000000000003</v>
      </c>
      <c r="H6">
        <v>40.799999999999997</v>
      </c>
      <c r="I6">
        <v>15</v>
      </c>
      <c r="J6">
        <v>10</v>
      </c>
      <c r="K6">
        <v>27</v>
      </c>
      <c r="L6">
        <v>40</v>
      </c>
      <c r="M6" t="s">
        <v>58</v>
      </c>
      <c r="N6" t="s">
        <v>58</v>
      </c>
      <c r="O6">
        <v>0</v>
      </c>
    </row>
    <row r="7" spans="1:20" x14ac:dyDescent="0.35">
      <c r="A7">
        <v>148</v>
      </c>
      <c r="B7" s="7">
        <f ca="1">TODAY()</f>
        <v>44571</v>
      </c>
      <c r="C7" t="s">
        <v>96</v>
      </c>
      <c r="D7" t="s">
        <v>96</v>
      </c>
      <c r="E7">
        <v>7.29</v>
      </c>
      <c r="F7">
        <v>0.47</v>
      </c>
      <c r="G7">
        <v>15.5</v>
      </c>
      <c r="H7">
        <v>26.1</v>
      </c>
      <c r="I7">
        <v>3.78</v>
      </c>
      <c r="J7">
        <v>1</v>
      </c>
      <c r="K7">
        <v>35</v>
      </c>
      <c r="L7">
        <v>24</v>
      </c>
      <c r="M7" t="s">
        <v>58</v>
      </c>
      <c r="N7" t="s">
        <v>58</v>
      </c>
      <c r="O7">
        <v>0</v>
      </c>
    </row>
    <row r="8" spans="1:20" x14ac:dyDescent="0.35">
      <c r="A8">
        <v>104</v>
      </c>
      <c r="B8" s="7">
        <f ca="1">TODAY()</f>
        <v>44571</v>
      </c>
      <c r="C8" t="e" vm="3">
        <v>#VALUE!</v>
      </c>
      <c r="D8" t="s">
        <v>115</v>
      </c>
      <c r="E8">
        <v>10.1</v>
      </c>
      <c r="F8">
        <v>0.4</v>
      </c>
      <c r="G8">
        <v>23.8</v>
      </c>
      <c r="H8">
        <v>30</v>
      </c>
      <c r="I8">
        <v>5.36</v>
      </c>
      <c r="J8">
        <v>1</v>
      </c>
      <c r="K8">
        <v>8</v>
      </c>
      <c r="L8">
        <v>72</v>
      </c>
      <c r="M8" t="s">
        <v>58</v>
      </c>
      <c r="N8" t="s">
        <v>58</v>
      </c>
      <c r="O8">
        <v>0.1</v>
      </c>
    </row>
    <row r="9" spans="1:20" x14ac:dyDescent="0.35">
      <c r="B9" s="7"/>
      <c r="D9" s="53" t="s">
        <v>331</v>
      </c>
      <c r="E9">
        <v>10.15</v>
      </c>
    </row>
    <row r="10" spans="1:20" x14ac:dyDescent="0.35">
      <c r="A10">
        <v>149</v>
      </c>
      <c r="B10" s="7">
        <f ca="1">TODAY()</f>
        <v>44571</v>
      </c>
      <c r="C10" t="s">
        <v>95</v>
      </c>
      <c r="D10" t="s">
        <v>95</v>
      </c>
      <c r="E10">
        <v>10.5</v>
      </c>
      <c r="F10">
        <v>0.22</v>
      </c>
      <c r="G10">
        <v>47.6</v>
      </c>
      <c r="H10">
        <v>8.2100000000000009</v>
      </c>
      <c r="I10">
        <v>1.77</v>
      </c>
      <c r="J10">
        <v>1</v>
      </c>
      <c r="K10">
        <v>16</v>
      </c>
      <c r="L10">
        <v>40</v>
      </c>
      <c r="M10" t="s">
        <v>58</v>
      </c>
      <c r="N10" t="s">
        <v>58</v>
      </c>
      <c r="O10">
        <v>0</v>
      </c>
    </row>
    <row r="11" spans="1:20" x14ac:dyDescent="0.35">
      <c r="A11">
        <v>141</v>
      </c>
      <c r="B11" s="7">
        <f ca="1">TODAY()</f>
        <v>44571</v>
      </c>
      <c r="C11" t="e" vm="4">
        <v>#VALUE!</v>
      </c>
      <c r="D11" t="s">
        <v>170</v>
      </c>
      <c r="E11">
        <v>11.2</v>
      </c>
      <c r="F11">
        <v>0.39</v>
      </c>
      <c r="G11">
        <v>28.6</v>
      </c>
      <c r="H11">
        <v>40.299999999999997</v>
      </c>
      <c r="I11">
        <v>5.62</v>
      </c>
      <c r="J11">
        <v>5</v>
      </c>
      <c r="K11">
        <v>6</v>
      </c>
      <c r="L11">
        <v>11</v>
      </c>
      <c r="M11" t="s">
        <v>58</v>
      </c>
      <c r="N11" t="s">
        <v>58</v>
      </c>
      <c r="O11">
        <v>0</v>
      </c>
    </row>
    <row r="12" spans="1:20" x14ac:dyDescent="0.35">
      <c r="A12">
        <v>127</v>
      </c>
      <c r="B12" s="7">
        <f ca="1">TODAY()</f>
        <v>44571</v>
      </c>
      <c r="C12" t="e" vm="5">
        <v>#VALUE!</v>
      </c>
      <c r="D12" t="s">
        <v>133</v>
      </c>
      <c r="E12">
        <v>16.2</v>
      </c>
      <c r="F12">
        <v>-14.2</v>
      </c>
      <c r="H12">
        <v>4.17</v>
      </c>
      <c r="I12">
        <v>13.3</v>
      </c>
      <c r="J12">
        <v>10</v>
      </c>
      <c r="K12">
        <v>-137</v>
      </c>
      <c r="L12">
        <v>-10</v>
      </c>
      <c r="M12" t="s">
        <v>69</v>
      </c>
      <c r="N12" t="s">
        <v>58</v>
      </c>
      <c r="O12">
        <v>0</v>
      </c>
    </row>
    <row r="13" spans="1:20" x14ac:dyDescent="0.35">
      <c r="A13">
        <v>142</v>
      </c>
      <c r="B13" s="7">
        <f ca="1">TODAY()</f>
        <v>44571</v>
      </c>
      <c r="C13" t="s">
        <v>103</v>
      </c>
      <c r="D13" t="s">
        <v>103</v>
      </c>
      <c r="E13">
        <v>17.600000000000001</v>
      </c>
      <c r="F13">
        <v>-11.9</v>
      </c>
      <c r="H13">
        <v>8.2100000000000009</v>
      </c>
      <c r="I13">
        <v>25.5</v>
      </c>
      <c r="J13">
        <v>1</v>
      </c>
      <c r="K13">
        <v>13</v>
      </c>
      <c r="L13">
        <v>14</v>
      </c>
      <c r="M13" t="s">
        <v>69</v>
      </c>
      <c r="N13" t="s">
        <v>98</v>
      </c>
      <c r="O13">
        <v>0</v>
      </c>
    </row>
    <row r="14" spans="1:20" x14ac:dyDescent="0.35">
      <c r="A14">
        <v>156</v>
      </c>
      <c r="B14" s="7">
        <f ca="1">TODAY()</f>
        <v>44571</v>
      </c>
      <c r="C14" t="e" vm="6">
        <v>#VALUE!</v>
      </c>
      <c r="D14" t="s">
        <v>26</v>
      </c>
      <c r="E14">
        <v>19.8</v>
      </c>
      <c r="F14">
        <v>0.04</v>
      </c>
      <c r="G14">
        <v>451</v>
      </c>
      <c r="H14">
        <v>40.299999999999997</v>
      </c>
      <c r="I14">
        <v>2.92</v>
      </c>
      <c r="J14">
        <v>1</v>
      </c>
      <c r="K14">
        <v>-0.11</v>
      </c>
      <c r="L14">
        <v>70</v>
      </c>
      <c r="M14" t="s">
        <v>58</v>
      </c>
      <c r="N14" t="s">
        <v>69</v>
      </c>
      <c r="O14">
        <v>0</v>
      </c>
    </row>
    <row r="15" spans="1:20" x14ac:dyDescent="0.35">
      <c r="A15">
        <v>86</v>
      </c>
      <c r="B15" s="7">
        <f ca="1">TODAY()</f>
        <v>44571</v>
      </c>
      <c r="C15" t="e" vm="7">
        <v>#VALUE!</v>
      </c>
      <c r="D15" t="s">
        <v>168</v>
      </c>
      <c r="E15">
        <v>20</v>
      </c>
      <c r="F15">
        <v>0.42</v>
      </c>
      <c r="G15">
        <v>48.2</v>
      </c>
      <c r="H15">
        <v>40.299999999999997</v>
      </c>
      <c r="I15">
        <v>1.73</v>
      </c>
      <c r="J15">
        <v>1</v>
      </c>
      <c r="K15">
        <v>7.27</v>
      </c>
      <c r="L15">
        <v>172</v>
      </c>
      <c r="M15" t="s">
        <v>58</v>
      </c>
      <c r="N15" t="s">
        <v>58</v>
      </c>
      <c r="O15">
        <v>0.25</v>
      </c>
    </row>
    <row r="16" spans="1:20" x14ac:dyDescent="0.35">
      <c r="A16">
        <v>125</v>
      </c>
      <c r="B16" s="7">
        <f ca="1">TODAY()</f>
        <v>44571</v>
      </c>
      <c r="C16" t="e" vm="8">
        <v>#VALUE!</v>
      </c>
      <c r="D16" t="s">
        <v>126</v>
      </c>
      <c r="E16">
        <v>21.4</v>
      </c>
      <c r="F16">
        <v>1.1399999999999999</v>
      </c>
      <c r="G16">
        <v>17.7</v>
      </c>
      <c r="H16">
        <v>32.299999999999997</v>
      </c>
      <c r="I16">
        <v>23</v>
      </c>
      <c r="J16">
        <v>2</v>
      </c>
      <c r="K16">
        <v>24</v>
      </c>
      <c r="L16">
        <v>-11</v>
      </c>
      <c r="M16" t="s">
        <v>69</v>
      </c>
      <c r="N16" t="s">
        <v>58</v>
      </c>
      <c r="O16">
        <v>0</v>
      </c>
    </row>
    <row r="17" spans="1:20" x14ac:dyDescent="0.35">
      <c r="A17">
        <v>133</v>
      </c>
      <c r="B17" s="7">
        <f ca="1">TODAY()</f>
        <v>44571</v>
      </c>
      <c r="C17" t="s">
        <v>97</v>
      </c>
      <c r="D17" t="s">
        <v>97</v>
      </c>
      <c r="E17">
        <v>21.6</v>
      </c>
      <c r="F17">
        <v>-0.25</v>
      </c>
      <c r="H17">
        <v>40.200000000000003</v>
      </c>
      <c r="I17">
        <v>-9.69</v>
      </c>
      <c r="J17">
        <v>2</v>
      </c>
      <c r="K17">
        <v>-106</v>
      </c>
      <c r="L17">
        <v>152</v>
      </c>
      <c r="M17" t="s">
        <v>69</v>
      </c>
      <c r="N17" t="s">
        <v>98</v>
      </c>
      <c r="O17">
        <v>0</v>
      </c>
    </row>
    <row r="18" spans="1:20" x14ac:dyDescent="0.35">
      <c r="A18">
        <v>13</v>
      </c>
      <c r="B18" s="7">
        <f ca="1">TODAY()</f>
        <v>44571</v>
      </c>
      <c r="C18" t="e" vm="9">
        <v>#VALUE!</v>
      </c>
      <c r="D18" t="s">
        <v>224</v>
      </c>
      <c r="E18">
        <v>22.8</v>
      </c>
      <c r="F18">
        <v>4.3099999999999996</v>
      </c>
      <c r="G18">
        <v>5.39</v>
      </c>
      <c r="H18">
        <v>4.17</v>
      </c>
      <c r="I18">
        <v>29.8</v>
      </c>
      <c r="J18">
        <v>10</v>
      </c>
      <c r="K18">
        <v>99</v>
      </c>
      <c r="M18" t="s">
        <v>58</v>
      </c>
      <c r="N18" t="s">
        <v>58</v>
      </c>
      <c r="O18">
        <v>4.6100000000000003</v>
      </c>
      <c r="Q18" t="s">
        <v>241</v>
      </c>
      <c r="R18" t="s">
        <v>244</v>
      </c>
    </row>
    <row r="19" spans="1:20" x14ac:dyDescent="0.35">
      <c r="A19">
        <v>137</v>
      </c>
      <c r="B19" s="7">
        <f ca="1">TODAY()</f>
        <v>44571</v>
      </c>
      <c r="C19" t="s">
        <v>102</v>
      </c>
      <c r="D19" t="s">
        <v>102</v>
      </c>
      <c r="E19">
        <v>25.4</v>
      </c>
      <c r="F19">
        <v>3.82</v>
      </c>
      <c r="G19">
        <v>6.63</v>
      </c>
      <c r="H19">
        <v>21.6</v>
      </c>
      <c r="I19">
        <v>28.6</v>
      </c>
      <c r="J19">
        <v>10</v>
      </c>
      <c r="K19">
        <v>2.36</v>
      </c>
      <c r="M19" t="s">
        <v>58</v>
      </c>
      <c r="N19" t="s">
        <v>58</v>
      </c>
      <c r="O19">
        <v>0</v>
      </c>
    </row>
    <row r="20" spans="1:20" x14ac:dyDescent="0.35">
      <c r="A20">
        <v>5</v>
      </c>
      <c r="B20" s="7">
        <f ca="1">TODAY()</f>
        <v>44571</v>
      </c>
      <c r="C20" t="e" vm="10">
        <v>#VALUE!</v>
      </c>
      <c r="D20" t="s">
        <v>172</v>
      </c>
      <c r="E20">
        <v>30</v>
      </c>
      <c r="F20">
        <v>3.96</v>
      </c>
      <c r="G20">
        <v>6.78</v>
      </c>
      <c r="H20">
        <v>40.799999999999997</v>
      </c>
      <c r="I20">
        <v>34</v>
      </c>
      <c r="J20">
        <v>10</v>
      </c>
      <c r="K20">
        <v>67</v>
      </c>
      <c r="L20">
        <v>6</v>
      </c>
      <c r="M20" t="s">
        <v>58</v>
      </c>
      <c r="N20" t="s">
        <v>58</v>
      </c>
      <c r="O20">
        <v>7.32</v>
      </c>
      <c r="Q20" t="s">
        <v>240</v>
      </c>
      <c r="T20" t="s">
        <v>239</v>
      </c>
    </row>
    <row r="21" spans="1:20" x14ac:dyDescent="0.35">
      <c r="A21">
        <v>9</v>
      </c>
      <c r="B21" s="7">
        <f ca="1">TODAY()</f>
        <v>44571</v>
      </c>
      <c r="C21" t="e" vm="11">
        <v>#VALUE!</v>
      </c>
      <c r="D21" t="s">
        <v>155</v>
      </c>
      <c r="E21">
        <v>31.2</v>
      </c>
      <c r="F21">
        <v>3.52</v>
      </c>
      <c r="G21">
        <v>8.8699999999999992</v>
      </c>
      <c r="H21">
        <v>40.799999999999997</v>
      </c>
      <c r="I21">
        <v>34.9</v>
      </c>
      <c r="J21">
        <v>10</v>
      </c>
      <c r="K21">
        <v>52</v>
      </c>
      <c r="L21">
        <v>6</v>
      </c>
      <c r="M21" t="s">
        <v>58</v>
      </c>
      <c r="N21" t="s">
        <v>58</v>
      </c>
      <c r="O21">
        <v>5.12</v>
      </c>
      <c r="Q21" t="s">
        <v>241</v>
      </c>
      <c r="S21" t="s">
        <v>243</v>
      </c>
      <c r="T21" t="s">
        <v>239</v>
      </c>
    </row>
    <row r="22" spans="1:20" x14ac:dyDescent="0.35">
      <c r="A22">
        <v>4</v>
      </c>
      <c r="B22" s="7">
        <f ca="1">TODAY()</f>
        <v>44571</v>
      </c>
      <c r="C22" t="s">
        <v>106</v>
      </c>
      <c r="D22" t="s">
        <v>106</v>
      </c>
      <c r="E22">
        <v>32.200000000000003</v>
      </c>
      <c r="F22">
        <v>2.92</v>
      </c>
      <c r="G22">
        <v>11</v>
      </c>
      <c r="H22">
        <v>26.1</v>
      </c>
      <c r="I22">
        <v>45.4</v>
      </c>
      <c r="J22">
        <v>1</v>
      </c>
      <c r="K22">
        <v>91</v>
      </c>
      <c r="L22">
        <v>15</v>
      </c>
      <c r="M22" t="s">
        <v>58</v>
      </c>
      <c r="N22" t="s">
        <v>58</v>
      </c>
      <c r="O22">
        <v>7.76</v>
      </c>
    </row>
    <row r="23" spans="1:20" x14ac:dyDescent="0.35">
      <c r="A23">
        <v>12</v>
      </c>
      <c r="B23" s="7">
        <f ca="1">TODAY()</f>
        <v>44571</v>
      </c>
      <c r="C23" t="e" vm="12">
        <v>#VALUE!</v>
      </c>
      <c r="D23" t="s">
        <v>161</v>
      </c>
      <c r="E23">
        <v>33.799999999999997</v>
      </c>
      <c r="F23">
        <v>5.3</v>
      </c>
      <c r="G23">
        <v>6.3</v>
      </c>
      <c r="H23">
        <v>36.799999999999997</v>
      </c>
      <c r="I23">
        <v>29.2</v>
      </c>
      <c r="J23">
        <v>10</v>
      </c>
      <c r="K23">
        <v>6</v>
      </c>
      <c r="L23">
        <v>48</v>
      </c>
      <c r="M23" t="s">
        <v>58</v>
      </c>
      <c r="N23" t="s">
        <v>58</v>
      </c>
      <c r="O23">
        <v>4.68</v>
      </c>
      <c r="Q23" t="s">
        <v>241</v>
      </c>
      <c r="S23" t="s">
        <v>243</v>
      </c>
    </row>
    <row r="24" spans="1:20" x14ac:dyDescent="0.35">
      <c r="A24">
        <v>7</v>
      </c>
      <c r="B24" s="7">
        <f ca="1">TODAY()</f>
        <v>44571</v>
      </c>
      <c r="C24" t="e" vm="13">
        <v>#VALUE!</v>
      </c>
      <c r="D24" t="s">
        <v>223</v>
      </c>
      <c r="E24">
        <v>40</v>
      </c>
      <c r="F24">
        <v>8.4600000000000009</v>
      </c>
      <c r="G24">
        <v>4.58</v>
      </c>
      <c r="H24">
        <v>24.8</v>
      </c>
      <c r="I24">
        <v>68.400000000000006</v>
      </c>
      <c r="J24">
        <v>10</v>
      </c>
      <c r="K24">
        <v>99</v>
      </c>
      <c r="L24">
        <v>-3</v>
      </c>
      <c r="M24" t="s">
        <v>58</v>
      </c>
      <c r="N24" t="s">
        <v>58</v>
      </c>
      <c r="O24">
        <v>5.61</v>
      </c>
      <c r="Q24" t="s">
        <v>241</v>
      </c>
      <c r="T24" t="s">
        <v>239</v>
      </c>
    </row>
    <row r="25" spans="1:20" x14ac:dyDescent="0.35">
      <c r="A25">
        <v>122</v>
      </c>
      <c r="B25" s="7">
        <f ca="1">TODAY()</f>
        <v>44571</v>
      </c>
      <c r="C25" t="e" vm="14">
        <v>#VALUE!</v>
      </c>
      <c r="D25" t="s">
        <v>124</v>
      </c>
      <c r="E25">
        <v>41.7</v>
      </c>
      <c r="F25">
        <v>2.4700000000000002</v>
      </c>
      <c r="G25">
        <v>16.899999999999999</v>
      </c>
      <c r="H25">
        <v>49.6</v>
      </c>
      <c r="I25">
        <v>29.3</v>
      </c>
      <c r="J25">
        <v>2</v>
      </c>
      <c r="K25">
        <v>1.55</v>
      </c>
      <c r="L25">
        <v>40</v>
      </c>
      <c r="M25" t="s">
        <v>58</v>
      </c>
      <c r="N25" t="s">
        <v>58</v>
      </c>
      <c r="O25">
        <v>0</v>
      </c>
    </row>
    <row r="26" spans="1:20" x14ac:dyDescent="0.35">
      <c r="A26">
        <v>31</v>
      </c>
      <c r="B26" s="7">
        <f ca="1">TODAY()</f>
        <v>44571</v>
      </c>
      <c r="C26" t="s">
        <v>104</v>
      </c>
      <c r="D26" t="s">
        <v>104</v>
      </c>
      <c r="E26">
        <v>42</v>
      </c>
      <c r="F26">
        <v>2.27</v>
      </c>
      <c r="G26">
        <v>18.5</v>
      </c>
      <c r="H26">
        <v>43</v>
      </c>
      <c r="I26">
        <v>27.3</v>
      </c>
      <c r="J26">
        <v>1</v>
      </c>
      <c r="K26">
        <v>10.7</v>
      </c>
      <c r="L26">
        <v>10</v>
      </c>
      <c r="M26" t="s">
        <v>58</v>
      </c>
      <c r="N26" t="s">
        <v>58</v>
      </c>
      <c r="O26">
        <v>1.43</v>
      </c>
    </row>
    <row r="27" spans="1:20" x14ac:dyDescent="0.35">
      <c r="A27">
        <v>154</v>
      </c>
      <c r="B27" s="7">
        <f ca="1">TODAY()</f>
        <v>44571</v>
      </c>
      <c r="C27" t="e" vm="15">
        <v>#VALUE!</v>
      </c>
      <c r="D27" t="s">
        <v>194</v>
      </c>
      <c r="E27">
        <v>42.8</v>
      </c>
      <c r="F27">
        <v>6.95</v>
      </c>
      <c r="G27">
        <v>6.33</v>
      </c>
      <c r="H27">
        <v>9.44</v>
      </c>
      <c r="I27">
        <v>94.6</v>
      </c>
      <c r="J27">
        <v>10</v>
      </c>
      <c r="K27">
        <v>43</v>
      </c>
      <c r="L27">
        <v>-20</v>
      </c>
      <c r="M27" t="s">
        <v>69</v>
      </c>
      <c r="N27" t="s">
        <v>58</v>
      </c>
      <c r="O27">
        <v>0</v>
      </c>
    </row>
    <row r="28" spans="1:20" x14ac:dyDescent="0.35">
      <c r="A28">
        <v>135</v>
      </c>
      <c r="B28" s="7">
        <f ca="1">TODAY()</f>
        <v>44571</v>
      </c>
      <c r="C28" t="e" vm="16">
        <v>#VALUE!</v>
      </c>
      <c r="D28" t="s">
        <v>225</v>
      </c>
      <c r="E28">
        <v>42.8</v>
      </c>
      <c r="F28">
        <v>-3.35</v>
      </c>
      <c r="H28">
        <v>5.03</v>
      </c>
      <c r="I28">
        <v>20.6</v>
      </c>
      <c r="J28">
        <v>10</v>
      </c>
      <c r="K28">
        <v>3</v>
      </c>
      <c r="L28">
        <v>-16</v>
      </c>
      <c r="M28" t="s">
        <v>69</v>
      </c>
      <c r="N28" t="s">
        <v>58</v>
      </c>
      <c r="O28">
        <v>0</v>
      </c>
    </row>
    <row r="29" spans="1:20" x14ac:dyDescent="0.35">
      <c r="A29">
        <v>153</v>
      </c>
      <c r="B29" s="7">
        <f ca="1">TODAY()</f>
        <v>44571</v>
      </c>
      <c r="C29" t="e" vm="17">
        <v>#VALUE!</v>
      </c>
      <c r="D29" t="s">
        <v>193</v>
      </c>
      <c r="E29">
        <v>43.8</v>
      </c>
      <c r="F29">
        <v>3.62</v>
      </c>
      <c r="G29">
        <v>12.1</v>
      </c>
      <c r="H29">
        <v>32.299999999999997</v>
      </c>
      <c r="I29">
        <v>25.9</v>
      </c>
      <c r="J29">
        <v>2</v>
      </c>
      <c r="K29">
        <v>20</v>
      </c>
      <c r="L29">
        <v>5</v>
      </c>
      <c r="M29" t="s">
        <v>58</v>
      </c>
      <c r="N29" t="s">
        <v>58</v>
      </c>
      <c r="O29">
        <v>0</v>
      </c>
    </row>
    <row r="30" spans="1:20" x14ac:dyDescent="0.35">
      <c r="A30">
        <v>134</v>
      </c>
      <c r="B30" s="7">
        <f ca="1">TODAY()</f>
        <v>44571</v>
      </c>
      <c r="C30" t="e" vm="18">
        <v>#VALUE!</v>
      </c>
      <c r="D30" t="s">
        <v>149</v>
      </c>
      <c r="E30">
        <v>44.4</v>
      </c>
      <c r="F30">
        <v>-5.26</v>
      </c>
      <c r="G30">
        <v>76.7</v>
      </c>
      <c r="H30">
        <v>40.299999999999997</v>
      </c>
      <c r="I30">
        <v>0.66</v>
      </c>
      <c r="J30">
        <v>1</v>
      </c>
      <c r="K30">
        <v>-0.15</v>
      </c>
      <c r="L30">
        <v>13</v>
      </c>
      <c r="M30" t="s">
        <v>69</v>
      </c>
      <c r="N30" t="s">
        <v>58</v>
      </c>
      <c r="O30">
        <v>0</v>
      </c>
    </row>
    <row r="31" spans="1:20" x14ac:dyDescent="0.35">
      <c r="A31">
        <v>8</v>
      </c>
      <c r="B31" s="7">
        <f ca="1">TODAY()</f>
        <v>44571</v>
      </c>
      <c r="C31" t="e" vm="19">
        <v>#VALUE!</v>
      </c>
      <c r="D31" t="s">
        <v>137</v>
      </c>
      <c r="E31">
        <v>44.9</v>
      </c>
      <c r="F31">
        <v>5.18</v>
      </c>
      <c r="G31">
        <v>8.67</v>
      </c>
      <c r="H31">
        <v>18.2</v>
      </c>
      <c r="I31">
        <v>48.6</v>
      </c>
      <c r="J31">
        <v>2</v>
      </c>
      <c r="K31">
        <v>9</v>
      </c>
      <c r="L31">
        <v>3</v>
      </c>
      <c r="M31" t="s">
        <v>58</v>
      </c>
      <c r="N31" t="s">
        <v>58</v>
      </c>
      <c r="O31">
        <v>5.23</v>
      </c>
    </row>
    <row r="32" spans="1:20" x14ac:dyDescent="0.35">
      <c r="A32">
        <v>132</v>
      </c>
      <c r="B32" s="7">
        <f ca="1">TODAY()</f>
        <v>44571</v>
      </c>
      <c r="C32" t="e" vm="20">
        <v>#VALUE!</v>
      </c>
      <c r="D32" t="s">
        <v>145</v>
      </c>
      <c r="E32">
        <v>45.4</v>
      </c>
      <c r="F32">
        <v>-1.38</v>
      </c>
      <c r="H32">
        <v>67.400000000000006</v>
      </c>
      <c r="I32">
        <v>10.8</v>
      </c>
      <c r="J32">
        <v>10</v>
      </c>
      <c r="K32">
        <v>26</v>
      </c>
      <c r="L32">
        <v>-15</v>
      </c>
      <c r="M32" t="s">
        <v>69</v>
      </c>
      <c r="N32" t="s">
        <v>69</v>
      </c>
      <c r="O32">
        <v>0</v>
      </c>
    </row>
    <row r="33" spans="1:20" x14ac:dyDescent="0.35">
      <c r="A33">
        <v>126</v>
      </c>
      <c r="B33" s="7">
        <f ca="1">TODAY()</f>
        <v>44571</v>
      </c>
      <c r="C33" t="e" vm="21">
        <v>#VALUE!</v>
      </c>
      <c r="D33" t="s">
        <v>68</v>
      </c>
      <c r="E33">
        <v>46.1</v>
      </c>
      <c r="F33">
        <v>2.0499999999999998</v>
      </c>
      <c r="G33">
        <v>22.5</v>
      </c>
      <c r="H33">
        <v>17.5</v>
      </c>
      <c r="I33">
        <v>35</v>
      </c>
      <c r="J33">
        <v>10</v>
      </c>
      <c r="K33">
        <v>41.9</v>
      </c>
      <c r="L33">
        <v>-9</v>
      </c>
      <c r="M33" t="s">
        <v>69</v>
      </c>
      <c r="N33" t="s">
        <v>58</v>
      </c>
      <c r="O33">
        <v>0</v>
      </c>
    </row>
    <row r="34" spans="1:20" x14ac:dyDescent="0.35">
      <c r="A34">
        <v>136</v>
      </c>
      <c r="B34" s="7">
        <f ca="1">TODAY()</f>
        <v>44571</v>
      </c>
      <c r="C34" t="e" vm="22">
        <v>#VALUE!</v>
      </c>
      <c r="D34" t="s">
        <v>152</v>
      </c>
      <c r="E34">
        <v>52</v>
      </c>
      <c r="F34">
        <v>2.11</v>
      </c>
      <c r="G34">
        <v>24.8</v>
      </c>
      <c r="H34">
        <v>12.1</v>
      </c>
      <c r="I34">
        <v>45.3</v>
      </c>
      <c r="J34">
        <v>10</v>
      </c>
      <c r="K34">
        <v>5</v>
      </c>
      <c r="L34">
        <v>13</v>
      </c>
      <c r="M34" t="s">
        <v>58</v>
      </c>
      <c r="N34" t="s">
        <v>58</v>
      </c>
      <c r="O34">
        <v>0</v>
      </c>
    </row>
    <row r="35" spans="1:20" x14ac:dyDescent="0.35">
      <c r="A35">
        <v>56</v>
      </c>
      <c r="B35" s="7">
        <f ca="1">TODAY()</f>
        <v>44571</v>
      </c>
      <c r="C35" t="e" vm="23">
        <v>#VALUE!</v>
      </c>
      <c r="D35" s="53" t="s">
        <v>191</v>
      </c>
      <c r="E35">
        <v>52.5</v>
      </c>
      <c r="F35">
        <v>1.31</v>
      </c>
      <c r="G35">
        <v>41.4</v>
      </c>
      <c r="H35">
        <v>30</v>
      </c>
      <c r="I35">
        <v>7</v>
      </c>
      <c r="J35">
        <v>1</v>
      </c>
      <c r="K35">
        <v>21</v>
      </c>
      <c r="L35">
        <v>56</v>
      </c>
      <c r="M35" t="s">
        <v>58</v>
      </c>
      <c r="N35" t="s">
        <v>58</v>
      </c>
      <c r="O35">
        <v>0.69</v>
      </c>
    </row>
    <row r="36" spans="1:20" x14ac:dyDescent="0.35">
      <c r="A36">
        <v>145</v>
      </c>
      <c r="B36" s="7">
        <f ca="1">TODAY()</f>
        <v>44571</v>
      </c>
      <c r="C36" t="e" vm="24">
        <v>#VALUE!</v>
      </c>
      <c r="D36" t="s">
        <v>175</v>
      </c>
      <c r="E36">
        <v>55.8</v>
      </c>
      <c r="F36">
        <v>7.55</v>
      </c>
      <c r="G36">
        <v>7.38</v>
      </c>
      <c r="H36">
        <v>12.1</v>
      </c>
      <c r="I36">
        <v>30.8</v>
      </c>
      <c r="J36">
        <v>10</v>
      </c>
      <c r="K36">
        <v>8</v>
      </c>
      <c r="L36">
        <v>28</v>
      </c>
      <c r="M36" t="s">
        <v>58</v>
      </c>
      <c r="N36" t="s">
        <v>58</v>
      </c>
      <c r="O36">
        <v>0</v>
      </c>
    </row>
    <row r="37" spans="1:20" x14ac:dyDescent="0.35">
      <c r="A37">
        <v>116</v>
      </c>
      <c r="B37" s="7">
        <f ca="1">TODAY()</f>
        <v>44571</v>
      </c>
      <c r="C37" t="e" vm="25">
        <v>#VALUE!</v>
      </c>
      <c r="D37" t="s">
        <v>222</v>
      </c>
      <c r="E37">
        <v>57.1</v>
      </c>
      <c r="F37">
        <v>-5.01</v>
      </c>
      <c r="H37">
        <v>29.2</v>
      </c>
      <c r="I37">
        <v>73.3</v>
      </c>
      <c r="J37">
        <v>2</v>
      </c>
      <c r="K37">
        <v>-10</v>
      </c>
      <c r="L37">
        <v>-8</v>
      </c>
      <c r="M37" t="s">
        <v>69</v>
      </c>
      <c r="N37" t="s">
        <v>58</v>
      </c>
      <c r="O37">
        <v>0</v>
      </c>
      <c r="Q37" t="s">
        <v>9</v>
      </c>
    </row>
    <row r="38" spans="1:20" x14ac:dyDescent="0.35">
      <c r="A38">
        <v>14</v>
      </c>
      <c r="B38" s="7">
        <f ca="1">TODAY()</f>
        <v>44571</v>
      </c>
      <c r="C38" t="e" vm="26">
        <v>#VALUE!</v>
      </c>
      <c r="D38" t="s">
        <v>156</v>
      </c>
      <c r="E38">
        <v>63</v>
      </c>
      <c r="F38">
        <v>10.5</v>
      </c>
      <c r="G38">
        <v>6.39</v>
      </c>
      <c r="H38">
        <v>40.799999999999997</v>
      </c>
      <c r="I38">
        <v>104</v>
      </c>
      <c r="J38">
        <v>10</v>
      </c>
      <c r="K38">
        <v>31</v>
      </c>
      <c r="L38">
        <v>-3</v>
      </c>
      <c r="M38" t="s">
        <v>69</v>
      </c>
      <c r="N38" t="s">
        <v>58</v>
      </c>
      <c r="O38">
        <v>3.97</v>
      </c>
    </row>
    <row r="39" spans="1:20" x14ac:dyDescent="0.35">
      <c r="A39">
        <v>131</v>
      </c>
      <c r="B39" s="7">
        <f ca="1">TODAY()</f>
        <v>44571</v>
      </c>
      <c r="C39" t="e" vm="27">
        <v>#VALUE!</v>
      </c>
      <c r="D39" t="s">
        <v>141</v>
      </c>
      <c r="E39">
        <v>63.8</v>
      </c>
      <c r="F39">
        <v>5.3</v>
      </c>
      <c r="G39">
        <v>11.6</v>
      </c>
      <c r="H39">
        <v>8.02</v>
      </c>
      <c r="I39">
        <v>23.8</v>
      </c>
      <c r="J39">
        <v>10</v>
      </c>
      <c r="K39">
        <v>15.5</v>
      </c>
      <c r="L39">
        <v>44</v>
      </c>
      <c r="M39" t="s">
        <v>58</v>
      </c>
      <c r="N39" t="s">
        <v>58</v>
      </c>
      <c r="O39">
        <v>0</v>
      </c>
    </row>
    <row r="40" spans="1:20" x14ac:dyDescent="0.35">
      <c r="A40">
        <v>123</v>
      </c>
      <c r="B40" s="7">
        <f ca="1">TODAY()</f>
        <v>44571</v>
      </c>
      <c r="C40" t="e" vm="28">
        <v>#VALUE!</v>
      </c>
      <c r="D40" t="s">
        <v>123</v>
      </c>
      <c r="E40">
        <v>68.8</v>
      </c>
      <c r="F40">
        <v>5.09</v>
      </c>
      <c r="G40">
        <v>14.7</v>
      </c>
      <c r="H40">
        <v>49.6</v>
      </c>
      <c r="I40">
        <v>26.7</v>
      </c>
      <c r="J40">
        <v>2</v>
      </c>
      <c r="K40">
        <v>1.69</v>
      </c>
      <c r="L40">
        <v>66</v>
      </c>
      <c r="M40" t="s">
        <v>58</v>
      </c>
      <c r="N40" t="s">
        <v>58</v>
      </c>
      <c r="O40">
        <v>0</v>
      </c>
    </row>
    <row r="41" spans="1:20" x14ac:dyDescent="0.35">
      <c r="A41">
        <v>18</v>
      </c>
      <c r="B41" s="7">
        <f ca="1">TODAY()</f>
        <v>44571</v>
      </c>
      <c r="C41" t="e" vm="29">
        <v>#VALUE!</v>
      </c>
      <c r="D41" t="s">
        <v>171</v>
      </c>
      <c r="E41">
        <v>71.5</v>
      </c>
      <c r="F41">
        <v>5.37</v>
      </c>
      <c r="G41">
        <v>13.4</v>
      </c>
      <c r="H41">
        <v>15.7</v>
      </c>
      <c r="I41">
        <v>21.7</v>
      </c>
      <c r="J41">
        <v>10</v>
      </c>
      <c r="K41">
        <v>22</v>
      </c>
      <c r="L41">
        <v>40</v>
      </c>
      <c r="M41" t="s">
        <v>58</v>
      </c>
      <c r="N41" t="s">
        <v>58</v>
      </c>
      <c r="O41">
        <v>3.5</v>
      </c>
    </row>
    <row r="42" spans="1:20" x14ac:dyDescent="0.35">
      <c r="A42">
        <v>33</v>
      </c>
      <c r="B42" s="7">
        <f ca="1">TODAY()</f>
        <v>44571</v>
      </c>
      <c r="C42" t="e" vm="30">
        <v>#VALUE!</v>
      </c>
      <c r="D42" t="s">
        <v>146</v>
      </c>
      <c r="E42">
        <v>74.45</v>
      </c>
      <c r="F42">
        <v>8.5</v>
      </c>
      <c r="G42">
        <v>8.77</v>
      </c>
      <c r="H42">
        <v>41.5</v>
      </c>
      <c r="I42">
        <v>58.9</v>
      </c>
      <c r="J42">
        <v>1</v>
      </c>
      <c r="K42">
        <v>11</v>
      </c>
      <c r="L42">
        <v>21</v>
      </c>
      <c r="M42" t="s">
        <v>58</v>
      </c>
      <c r="N42" t="s">
        <v>58</v>
      </c>
      <c r="O42">
        <v>1.34</v>
      </c>
    </row>
    <row r="43" spans="1:20" x14ac:dyDescent="0.35">
      <c r="A43">
        <v>15</v>
      </c>
      <c r="B43" s="7">
        <f ca="1">TODAY()</f>
        <v>44571</v>
      </c>
      <c r="C43" t="e" vm="31">
        <v>#VALUE!</v>
      </c>
      <c r="D43" t="s">
        <v>147</v>
      </c>
      <c r="E43">
        <v>76.8</v>
      </c>
      <c r="F43">
        <v>13.8</v>
      </c>
      <c r="G43">
        <v>5.56</v>
      </c>
      <c r="H43">
        <v>11.9</v>
      </c>
      <c r="I43">
        <v>144</v>
      </c>
      <c r="J43">
        <v>2</v>
      </c>
      <c r="K43">
        <v>13</v>
      </c>
      <c r="L43">
        <v>22</v>
      </c>
      <c r="M43" t="s">
        <v>58</v>
      </c>
      <c r="N43" t="s">
        <v>58</v>
      </c>
      <c r="O43">
        <v>3.91</v>
      </c>
    </row>
    <row r="44" spans="1:20" x14ac:dyDescent="0.35">
      <c r="A44">
        <v>48</v>
      </c>
      <c r="B44" s="7">
        <f ca="1">TODAY()</f>
        <v>44571</v>
      </c>
      <c r="C44" t="e" vm="32">
        <v>#VALUE!</v>
      </c>
      <c r="D44" s="53" t="s">
        <v>185</v>
      </c>
      <c r="E44">
        <v>82.2</v>
      </c>
      <c r="F44">
        <v>8.8000000000000007</v>
      </c>
      <c r="G44">
        <v>9.6999999999999993</v>
      </c>
      <c r="H44">
        <v>17.5</v>
      </c>
      <c r="I44">
        <v>78.5</v>
      </c>
      <c r="J44">
        <v>2</v>
      </c>
      <c r="K44">
        <v>59.7</v>
      </c>
      <c r="L44">
        <v>4</v>
      </c>
      <c r="M44" t="s">
        <v>58</v>
      </c>
      <c r="N44" t="s">
        <v>58</v>
      </c>
      <c r="O44">
        <v>0.85</v>
      </c>
    </row>
    <row r="45" spans="1:20" x14ac:dyDescent="0.35">
      <c r="A45">
        <v>20</v>
      </c>
      <c r="B45" s="7">
        <f ca="1">TODAY()</f>
        <v>44571</v>
      </c>
      <c r="C45" t="e" vm="33">
        <v>#VALUE!</v>
      </c>
      <c r="D45" t="s">
        <v>179</v>
      </c>
      <c r="E45">
        <v>103</v>
      </c>
      <c r="F45">
        <v>21</v>
      </c>
      <c r="G45">
        <v>5.37</v>
      </c>
      <c r="H45">
        <v>28.8</v>
      </c>
      <c r="I45">
        <v>74.599999999999994</v>
      </c>
      <c r="J45">
        <v>10</v>
      </c>
      <c r="K45">
        <v>16</v>
      </c>
      <c r="L45">
        <v>40</v>
      </c>
      <c r="M45" t="s">
        <v>58</v>
      </c>
      <c r="N45" t="s">
        <v>58</v>
      </c>
      <c r="O45">
        <v>2.4300000000000002</v>
      </c>
    </row>
    <row r="46" spans="1:20" x14ac:dyDescent="0.35">
      <c r="A46">
        <v>42</v>
      </c>
      <c r="B46" s="7">
        <f ca="1">TODAY()</f>
        <v>44571</v>
      </c>
      <c r="C46" t="e" vm="34">
        <v>#VALUE!</v>
      </c>
      <c r="D46" t="s">
        <v>197</v>
      </c>
      <c r="E46">
        <v>104</v>
      </c>
      <c r="F46">
        <v>9.1999999999999993</v>
      </c>
      <c r="G46">
        <v>11.3</v>
      </c>
      <c r="H46">
        <v>29.2</v>
      </c>
      <c r="I46">
        <v>105</v>
      </c>
      <c r="J46">
        <v>10</v>
      </c>
      <c r="K46">
        <v>13</v>
      </c>
      <c r="L46">
        <v>13</v>
      </c>
      <c r="M46" t="s">
        <v>58</v>
      </c>
      <c r="N46" t="s">
        <v>58</v>
      </c>
      <c r="O46">
        <v>0.96</v>
      </c>
    </row>
    <row r="47" spans="1:20" x14ac:dyDescent="0.35">
      <c r="A47" s="9">
        <v>3</v>
      </c>
      <c r="B47" s="10">
        <f ca="1">TODAY()</f>
        <v>44571</v>
      </c>
      <c r="C47" t="e" vm="35">
        <v>#VALUE!</v>
      </c>
      <c r="D47" s="9" t="s">
        <v>218</v>
      </c>
      <c r="E47" s="9">
        <v>111</v>
      </c>
      <c r="F47" s="9">
        <v>27.3</v>
      </c>
      <c r="G47" s="9">
        <v>4.05</v>
      </c>
      <c r="H47" s="9">
        <v>5.03</v>
      </c>
      <c r="I47" s="9">
        <v>136</v>
      </c>
      <c r="J47" s="9">
        <v>10</v>
      </c>
      <c r="K47" s="9">
        <v>10</v>
      </c>
      <c r="L47" s="9">
        <v>-7</v>
      </c>
      <c r="M47" s="9" t="s">
        <v>69</v>
      </c>
      <c r="N47" s="9" t="s">
        <v>58</v>
      </c>
      <c r="O47" s="9">
        <v>10.8</v>
      </c>
      <c r="P47" s="9"/>
      <c r="Q47" s="9" t="s">
        <v>237</v>
      </c>
      <c r="R47" s="9" t="s">
        <v>238</v>
      </c>
      <c r="S47" s="9"/>
      <c r="T47" s="9" t="s">
        <v>239</v>
      </c>
    </row>
    <row r="48" spans="1:20" x14ac:dyDescent="0.35">
      <c r="A48">
        <v>24</v>
      </c>
      <c r="B48" s="7">
        <f ca="1">TODAY()</f>
        <v>44571</v>
      </c>
      <c r="C48" t="e" vm="36">
        <v>#VALUE!</v>
      </c>
      <c r="D48" t="s">
        <v>162</v>
      </c>
      <c r="E48">
        <v>116</v>
      </c>
      <c r="F48">
        <v>5.7</v>
      </c>
      <c r="G48">
        <v>20.100000000000001</v>
      </c>
      <c r="H48">
        <v>54.2</v>
      </c>
      <c r="I48">
        <v>45.6</v>
      </c>
      <c r="J48">
        <v>10</v>
      </c>
      <c r="K48">
        <v>24.4</v>
      </c>
      <c r="M48" t="s">
        <v>58</v>
      </c>
      <c r="N48" t="s">
        <v>58</v>
      </c>
      <c r="O48">
        <v>1.89</v>
      </c>
    </row>
    <row r="49" spans="1:18" x14ac:dyDescent="0.35">
      <c r="A49">
        <v>112</v>
      </c>
      <c r="B49" s="7">
        <f ca="1">TODAY()</f>
        <v>44571</v>
      </c>
      <c r="C49" t="e" vm="37">
        <v>#VALUE!</v>
      </c>
      <c r="D49" t="s">
        <v>112</v>
      </c>
      <c r="E49">
        <v>116</v>
      </c>
      <c r="F49">
        <v>5.38</v>
      </c>
      <c r="G49">
        <v>21.1</v>
      </c>
      <c r="H49">
        <v>8.39</v>
      </c>
      <c r="I49">
        <v>107</v>
      </c>
      <c r="J49">
        <v>10</v>
      </c>
      <c r="K49">
        <v>10</v>
      </c>
      <c r="L49">
        <v>10</v>
      </c>
      <c r="M49" t="s">
        <v>58</v>
      </c>
      <c r="N49" t="s">
        <v>58</v>
      </c>
      <c r="O49">
        <v>0</v>
      </c>
    </row>
    <row r="50" spans="1:18" x14ac:dyDescent="0.35">
      <c r="A50">
        <v>68</v>
      </c>
      <c r="B50" s="7">
        <f ca="1">TODAY()</f>
        <v>44571</v>
      </c>
      <c r="C50" t="e" vm="38">
        <v>#VALUE!</v>
      </c>
      <c r="D50" t="s">
        <v>53</v>
      </c>
      <c r="E50">
        <v>121</v>
      </c>
      <c r="F50">
        <v>-0.04</v>
      </c>
      <c r="H50">
        <v>324</v>
      </c>
      <c r="I50">
        <v>25.4</v>
      </c>
      <c r="J50">
        <v>1</v>
      </c>
      <c r="K50">
        <v>11</v>
      </c>
      <c r="L50">
        <v>10</v>
      </c>
      <c r="M50" t="s">
        <v>58</v>
      </c>
      <c r="N50" t="s">
        <v>58</v>
      </c>
      <c r="O50">
        <v>0.5</v>
      </c>
    </row>
    <row r="51" spans="1:18" x14ac:dyDescent="0.35">
      <c r="A51">
        <v>138</v>
      </c>
      <c r="B51" s="7">
        <f ca="1">TODAY()</f>
        <v>44571</v>
      </c>
      <c r="C51" t="e" vm="39">
        <v>#VALUE!</v>
      </c>
      <c r="D51" t="s">
        <v>164</v>
      </c>
      <c r="E51">
        <v>131</v>
      </c>
      <c r="F51">
        <v>-3.44</v>
      </c>
      <c r="H51">
        <v>17.5</v>
      </c>
      <c r="I51">
        <v>211</v>
      </c>
      <c r="J51">
        <v>10</v>
      </c>
      <c r="K51">
        <v>18</v>
      </c>
      <c r="L51">
        <v>-40</v>
      </c>
      <c r="M51" t="s">
        <v>69</v>
      </c>
      <c r="N51" t="s">
        <v>58</v>
      </c>
      <c r="O51">
        <v>0</v>
      </c>
    </row>
    <row r="52" spans="1:18" x14ac:dyDescent="0.35">
      <c r="A52">
        <v>30</v>
      </c>
      <c r="B52" s="7">
        <f ca="1">TODAY()</f>
        <v>44571</v>
      </c>
      <c r="C52" t="e" vm="40">
        <v>#VALUE!</v>
      </c>
      <c r="D52" t="s">
        <v>134</v>
      </c>
      <c r="E52">
        <v>138</v>
      </c>
      <c r="F52">
        <v>39.200000000000003</v>
      </c>
      <c r="G52">
        <v>3.7</v>
      </c>
      <c r="H52">
        <v>9.44</v>
      </c>
      <c r="I52">
        <v>317</v>
      </c>
      <c r="J52">
        <v>10</v>
      </c>
      <c r="K52">
        <v>47.7</v>
      </c>
      <c r="L52">
        <v>-9</v>
      </c>
      <c r="M52" t="s">
        <v>69</v>
      </c>
      <c r="N52" t="s">
        <v>58</v>
      </c>
      <c r="O52">
        <v>1.45</v>
      </c>
    </row>
    <row r="53" spans="1:18" x14ac:dyDescent="0.35">
      <c r="A53">
        <v>151</v>
      </c>
      <c r="B53" s="7">
        <f ca="1">TODAY()</f>
        <v>44571</v>
      </c>
      <c r="C53" t="e" vm="41">
        <v>#VALUE!</v>
      </c>
      <c r="D53" t="s">
        <v>190</v>
      </c>
      <c r="E53">
        <v>139</v>
      </c>
      <c r="F53">
        <v>-73</v>
      </c>
      <c r="H53">
        <v>24.5</v>
      </c>
      <c r="I53">
        <v>-278</v>
      </c>
      <c r="J53">
        <v>10</v>
      </c>
      <c r="K53">
        <v>-50</v>
      </c>
      <c r="L53">
        <v>5</v>
      </c>
      <c r="M53" t="s">
        <v>69</v>
      </c>
      <c r="N53" t="s">
        <v>69</v>
      </c>
      <c r="O53">
        <v>0</v>
      </c>
    </row>
    <row r="54" spans="1:18" x14ac:dyDescent="0.35">
      <c r="A54">
        <v>16</v>
      </c>
      <c r="B54" s="7">
        <f ca="1">TODAY()</f>
        <v>44571</v>
      </c>
      <c r="C54" t="e" vm="42">
        <v>#VALUE!</v>
      </c>
      <c r="D54" t="s">
        <v>157</v>
      </c>
      <c r="E54">
        <v>140</v>
      </c>
      <c r="F54">
        <v>28.6</v>
      </c>
      <c r="G54">
        <v>5.13</v>
      </c>
      <c r="H54">
        <v>21.4</v>
      </c>
      <c r="I54">
        <v>197</v>
      </c>
      <c r="J54">
        <v>5</v>
      </c>
      <c r="K54">
        <v>13</v>
      </c>
      <c r="L54">
        <v>-2</v>
      </c>
      <c r="M54" t="s">
        <v>69</v>
      </c>
      <c r="N54" t="s">
        <v>58</v>
      </c>
      <c r="O54">
        <v>3.91</v>
      </c>
    </row>
    <row r="55" spans="1:18" x14ac:dyDescent="0.35">
      <c r="A55">
        <v>2</v>
      </c>
      <c r="B55" s="7">
        <f ca="1">TODAY()</f>
        <v>44571</v>
      </c>
      <c r="C55" t="e" vm="43">
        <v>#VALUE!</v>
      </c>
      <c r="D55" t="s">
        <v>118</v>
      </c>
      <c r="E55">
        <v>146</v>
      </c>
      <c r="F55">
        <v>22.4</v>
      </c>
      <c r="G55">
        <v>6.54</v>
      </c>
      <c r="H55">
        <v>20.7</v>
      </c>
      <c r="I55">
        <v>65.5</v>
      </c>
      <c r="J55">
        <v>10</v>
      </c>
      <c r="K55">
        <v>20</v>
      </c>
      <c r="L55">
        <v>-15</v>
      </c>
      <c r="M55" t="s">
        <v>69</v>
      </c>
      <c r="N55" t="s">
        <v>58</v>
      </c>
      <c r="O55">
        <v>10.9</v>
      </c>
      <c r="P55" t="s">
        <v>235</v>
      </c>
      <c r="Q55" t="s">
        <v>240</v>
      </c>
      <c r="R55" t="s">
        <v>236</v>
      </c>
    </row>
    <row r="56" spans="1:18" x14ac:dyDescent="0.35">
      <c r="A56">
        <v>105</v>
      </c>
      <c r="B56" s="7">
        <f ca="1">TODAY()</f>
        <v>44571</v>
      </c>
      <c r="C56" t="e" vm="44">
        <v>#VALUE!</v>
      </c>
      <c r="D56" t="s">
        <v>199</v>
      </c>
      <c r="E56">
        <v>148</v>
      </c>
      <c r="F56">
        <v>7.24</v>
      </c>
      <c r="G56">
        <v>20.399999999999999</v>
      </c>
      <c r="H56">
        <v>30</v>
      </c>
      <c r="I56">
        <v>37.700000000000003</v>
      </c>
      <c r="J56">
        <v>1</v>
      </c>
      <c r="K56">
        <v>17</v>
      </c>
      <c r="L56">
        <v>50</v>
      </c>
      <c r="M56" t="s">
        <v>58</v>
      </c>
      <c r="N56" t="s">
        <v>58</v>
      </c>
      <c r="O56">
        <v>0.1</v>
      </c>
    </row>
    <row r="57" spans="1:18" x14ac:dyDescent="0.35">
      <c r="A57">
        <v>37</v>
      </c>
      <c r="B57" s="7">
        <f ca="1">TODAY()</f>
        <v>44571</v>
      </c>
      <c r="C57" t="e" vm="45">
        <v>#VALUE!</v>
      </c>
      <c r="D57" t="s">
        <v>166</v>
      </c>
      <c r="E57">
        <v>152</v>
      </c>
      <c r="F57">
        <v>12</v>
      </c>
      <c r="G57">
        <v>12</v>
      </c>
      <c r="H57">
        <v>28.9</v>
      </c>
      <c r="I57">
        <v>73</v>
      </c>
      <c r="J57">
        <v>10</v>
      </c>
      <c r="K57">
        <v>15.4</v>
      </c>
      <c r="L57">
        <v>-4</v>
      </c>
      <c r="M57" t="s">
        <v>69</v>
      </c>
      <c r="N57" t="s">
        <v>58</v>
      </c>
      <c r="O57">
        <v>1.1499999999999999</v>
      </c>
    </row>
    <row r="58" spans="1:18" x14ac:dyDescent="0.35">
      <c r="A58">
        <v>79</v>
      </c>
      <c r="B58" s="7">
        <f ca="1">TODAY()</f>
        <v>44571</v>
      </c>
      <c r="C58" t="e" vm="46">
        <v>#VALUE!</v>
      </c>
      <c r="D58" t="s">
        <v>169</v>
      </c>
      <c r="E58">
        <v>161</v>
      </c>
      <c r="F58">
        <v>2.87</v>
      </c>
      <c r="G58">
        <v>56.1</v>
      </c>
      <c r="H58">
        <v>19.399999999999999</v>
      </c>
      <c r="I58">
        <v>31</v>
      </c>
      <c r="J58">
        <v>2</v>
      </c>
      <c r="K58">
        <v>10</v>
      </c>
      <c r="L58">
        <v>33</v>
      </c>
      <c r="M58" t="s">
        <v>58</v>
      </c>
      <c r="N58" t="s">
        <v>58</v>
      </c>
      <c r="O58">
        <v>0.31</v>
      </c>
    </row>
    <row r="59" spans="1:18" x14ac:dyDescent="0.35">
      <c r="A59">
        <v>90</v>
      </c>
      <c r="B59" s="7">
        <f ca="1">TODAY()</f>
        <v>44571</v>
      </c>
      <c r="C59" t="e" vm="47">
        <v>#VALUE!</v>
      </c>
      <c r="D59" t="s">
        <v>186</v>
      </c>
      <c r="E59">
        <v>177</v>
      </c>
      <c r="F59">
        <v>-4.5999999999999996</v>
      </c>
      <c r="H59">
        <v>67.400000000000006</v>
      </c>
      <c r="I59">
        <v>24.6</v>
      </c>
      <c r="J59">
        <v>1</v>
      </c>
      <c r="K59">
        <v>-1</v>
      </c>
      <c r="L59">
        <v>10</v>
      </c>
      <c r="M59" t="s">
        <v>69</v>
      </c>
      <c r="N59" t="s">
        <v>69</v>
      </c>
      <c r="O59">
        <v>0.23</v>
      </c>
    </row>
    <row r="60" spans="1:18" x14ac:dyDescent="0.35">
      <c r="A60">
        <v>27</v>
      </c>
      <c r="B60" s="7">
        <f ca="1">TODAY()</f>
        <v>44571</v>
      </c>
      <c r="C60" t="e" vm="48">
        <v>#VALUE!</v>
      </c>
      <c r="D60" t="s">
        <v>122</v>
      </c>
      <c r="E60">
        <v>183</v>
      </c>
      <c r="F60">
        <v>6.28</v>
      </c>
      <c r="G60">
        <v>25.4</v>
      </c>
      <c r="H60">
        <v>36</v>
      </c>
      <c r="I60">
        <v>42</v>
      </c>
      <c r="J60">
        <v>10</v>
      </c>
      <c r="K60">
        <v>16</v>
      </c>
      <c r="L60">
        <v>40</v>
      </c>
      <c r="M60" t="s">
        <v>58</v>
      </c>
      <c r="N60" t="s">
        <v>58</v>
      </c>
      <c r="O60">
        <v>1.64</v>
      </c>
    </row>
    <row r="61" spans="1:18" x14ac:dyDescent="0.35">
      <c r="A61">
        <v>152</v>
      </c>
      <c r="B61" s="7">
        <f ca="1">TODAY()</f>
        <v>44571</v>
      </c>
      <c r="C61" t="e" vm="49">
        <v>#VALUE!</v>
      </c>
      <c r="D61" t="s">
        <v>184</v>
      </c>
      <c r="E61">
        <v>197</v>
      </c>
      <c r="F61">
        <v>-6.23</v>
      </c>
      <c r="H61">
        <v>54.2</v>
      </c>
      <c r="I61">
        <v>-95.6</v>
      </c>
      <c r="J61">
        <v>10</v>
      </c>
      <c r="K61">
        <v>44</v>
      </c>
      <c r="L61">
        <v>264</v>
      </c>
      <c r="M61" t="s">
        <v>69</v>
      </c>
      <c r="N61" t="s">
        <v>58</v>
      </c>
      <c r="O61">
        <v>0</v>
      </c>
    </row>
    <row r="62" spans="1:18" x14ac:dyDescent="0.35">
      <c r="A62">
        <v>28</v>
      </c>
      <c r="B62" s="7">
        <f ca="1">TODAY()</f>
        <v>44571</v>
      </c>
      <c r="C62" t="e" vm="50">
        <v>#VALUE!</v>
      </c>
      <c r="D62" t="s">
        <v>217</v>
      </c>
      <c r="E62">
        <v>214</v>
      </c>
      <c r="F62">
        <v>19.7</v>
      </c>
      <c r="G62">
        <v>10.9</v>
      </c>
      <c r="H62">
        <v>10.5</v>
      </c>
      <c r="I62">
        <v>83.9</v>
      </c>
      <c r="J62">
        <v>10</v>
      </c>
      <c r="K62">
        <v>14</v>
      </c>
      <c r="L62">
        <v>4</v>
      </c>
      <c r="M62" t="s">
        <v>58</v>
      </c>
      <c r="N62" t="s">
        <v>58</v>
      </c>
      <c r="O62">
        <v>1.63</v>
      </c>
    </row>
    <row r="63" spans="1:18" x14ac:dyDescent="0.35">
      <c r="A63">
        <v>54</v>
      </c>
      <c r="B63" s="7">
        <f ca="1">TODAY()</f>
        <v>44571</v>
      </c>
      <c r="C63" t="e" vm="51">
        <v>#VALUE!</v>
      </c>
      <c r="D63" t="s">
        <v>150</v>
      </c>
      <c r="E63">
        <v>215</v>
      </c>
      <c r="F63">
        <v>6.39</v>
      </c>
      <c r="G63">
        <v>33.6</v>
      </c>
      <c r="H63">
        <v>22.6</v>
      </c>
      <c r="I63">
        <v>40.1</v>
      </c>
      <c r="J63">
        <v>1</v>
      </c>
      <c r="K63">
        <v>8.8000000000000007</v>
      </c>
      <c r="L63">
        <v>10</v>
      </c>
      <c r="M63" t="s">
        <v>58</v>
      </c>
      <c r="N63" t="s">
        <v>58</v>
      </c>
      <c r="O63">
        <v>0.7</v>
      </c>
    </row>
    <row r="64" spans="1:18" x14ac:dyDescent="0.35">
      <c r="A64">
        <v>10</v>
      </c>
      <c r="B64" s="7">
        <f ca="1">TODAY()</f>
        <v>44571</v>
      </c>
      <c r="C64" t="e" vm="52">
        <v>#VALUE!</v>
      </c>
      <c r="D64" t="s">
        <v>57</v>
      </c>
      <c r="E64">
        <v>216</v>
      </c>
      <c r="F64">
        <v>11.6</v>
      </c>
      <c r="G64">
        <v>18.600000000000001</v>
      </c>
      <c r="H64">
        <v>16.3</v>
      </c>
      <c r="I64">
        <v>49.4</v>
      </c>
      <c r="J64">
        <v>1</v>
      </c>
      <c r="K64">
        <v>35</v>
      </c>
      <c r="L64">
        <v>-8</v>
      </c>
      <c r="M64" t="s">
        <v>69</v>
      </c>
      <c r="N64" t="s">
        <v>58</v>
      </c>
      <c r="O64">
        <v>4.9800000000000004</v>
      </c>
    </row>
    <row r="65" spans="1:20" x14ac:dyDescent="0.35">
      <c r="A65">
        <v>21</v>
      </c>
      <c r="B65" s="7">
        <f ca="1">TODAY()</f>
        <v>44571</v>
      </c>
      <c r="C65" t="e" vm="53">
        <v>#VALUE!</v>
      </c>
      <c r="D65" t="s">
        <v>111</v>
      </c>
      <c r="E65">
        <v>217</v>
      </c>
      <c r="F65">
        <v>20.5</v>
      </c>
      <c r="G65">
        <v>10.6</v>
      </c>
      <c r="H65">
        <v>13.5</v>
      </c>
      <c r="I65">
        <v>252</v>
      </c>
      <c r="J65">
        <v>10</v>
      </c>
      <c r="K65">
        <v>12.5</v>
      </c>
      <c r="L65">
        <v>-6</v>
      </c>
      <c r="M65" t="s">
        <v>69</v>
      </c>
      <c r="N65" t="s">
        <v>58</v>
      </c>
      <c r="O65">
        <v>2.31</v>
      </c>
    </row>
    <row r="66" spans="1:20" x14ac:dyDescent="0.35">
      <c r="A66">
        <v>53</v>
      </c>
      <c r="B66" s="7">
        <f ca="1">TODAY()</f>
        <v>44571</v>
      </c>
      <c r="C66" t="e" vm="54">
        <v>#VALUE!</v>
      </c>
      <c r="D66" t="s">
        <v>76</v>
      </c>
      <c r="E66">
        <v>218</v>
      </c>
      <c r="F66">
        <v>4.55</v>
      </c>
      <c r="G66">
        <v>44.7</v>
      </c>
      <c r="H66">
        <v>40.799999999999997</v>
      </c>
      <c r="I66">
        <v>66.599999999999994</v>
      </c>
      <c r="J66">
        <v>1</v>
      </c>
      <c r="K66">
        <v>17.5</v>
      </c>
      <c r="L66">
        <v>30</v>
      </c>
      <c r="M66" t="s">
        <v>58</v>
      </c>
      <c r="N66" t="s">
        <v>58</v>
      </c>
      <c r="O66">
        <v>0.71</v>
      </c>
    </row>
    <row r="67" spans="1:20" x14ac:dyDescent="0.35">
      <c r="A67">
        <v>89</v>
      </c>
      <c r="B67" s="7">
        <f ca="1">TODAY()</f>
        <v>44571</v>
      </c>
      <c r="C67" t="e" vm="55">
        <v>#VALUE!</v>
      </c>
      <c r="D67" t="s">
        <v>109</v>
      </c>
      <c r="E67">
        <v>222</v>
      </c>
      <c r="F67">
        <v>9.85</v>
      </c>
      <c r="G67">
        <v>23</v>
      </c>
      <c r="H67">
        <v>24</v>
      </c>
      <c r="I67">
        <v>61</v>
      </c>
      <c r="J67">
        <v>2</v>
      </c>
      <c r="K67">
        <v>10</v>
      </c>
      <c r="L67">
        <v>30</v>
      </c>
      <c r="M67" t="s">
        <v>58</v>
      </c>
      <c r="N67" t="s">
        <v>58</v>
      </c>
      <c r="O67">
        <v>0.23</v>
      </c>
    </row>
    <row r="68" spans="1:20" x14ac:dyDescent="0.35">
      <c r="A68">
        <v>52</v>
      </c>
      <c r="B68" s="7">
        <f ca="1">TODAY()</f>
        <v>44571</v>
      </c>
      <c r="C68" t="e" vm="56">
        <v>#VALUE!</v>
      </c>
      <c r="D68" t="s">
        <v>187</v>
      </c>
      <c r="E68">
        <v>268</v>
      </c>
      <c r="F68">
        <v>22.2</v>
      </c>
      <c r="G68">
        <v>12.1</v>
      </c>
      <c r="H68">
        <v>11.9</v>
      </c>
      <c r="I68">
        <v>92.2</v>
      </c>
      <c r="J68">
        <v>10</v>
      </c>
      <c r="K68">
        <v>11</v>
      </c>
      <c r="L68">
        <v>22</v>
      </c>
      <c r="M68" t="s">
        <v>58</v>
      </c>
      <c r="N68" t="s">
        <v>58</v>
      </c>
      <c r="O68">
        <v>0.75</v>
      </c>
    </row>
    <row r="69" spans="1:20" x14ac:dyDescent="0.35">
      <c r="A69">
        <v>40</v>
      </c>
      <c r="B69" s="7">
        <f ca="1">TODAY()</f>
        <v>44571</v>
      </c>
      <c r="C69" t="e" vm="57">
        <v>#VALUE!</v>
      </c>
      <c r="D69" t="s">
        <v>163</v>
      </c>
      <c r="E69">
        <v>271</v>
      </c>
      <c r="F69">
        <v>9.9</v>
      </c>
      <c r="G69">
        <v>28.2</v>
      </c>
      <c r="H69">
        <v>31.4</v>
      </c>
      <c r="I69">
        <v>85.8</v>
      </c>
      <c r="J69">
        <v>1</v>
      </c>
      <c r="K69">
        <v>11.4</v>
      </c>
      <c r="L69">
        <v>15</v>
      </c>
      <c r="M69" t="s">
        <v>58</v>
      </c>
      <c r="N69" t="s">
        <v>58</v>
      </c>
      <c r="O69">
        <v>1.1100000000000001</v>
      </c>
    </row>
    <row r="70" spans="1:20" x14ac:dyDescent="0.35">
      <c r="A70">
        <v>144</v>
      </c>
      <c r="B70" s="7">
        <f ca="1">TODAY()</f>
        <v>44571</v>
      </c>
      <c r="C70" t="e" vm="58">
        <v>#VALUE!</v>
      </c>
      <c r="D70" t="s">
        <v>177</v>
      </c>
      <c r="E70">
        <v>279</v>
      </c>
      <c r="F70">
        <v>-9.18</v>
      </c>
      <c r="H70">
        <v>26.1</v>
      </c>
      <c r="I70">
        <v>0.18</v>
      </c>
      <c r="J70">
        <v>1</v>
      </c>
      <c r="K70">
        <v>-223</v>
      </c>
      <c r="L70">
        <v>14</v>
      </c>
      <c r="M70" t="s">
        <v>69</v>
      </c>
      <c r="N70" t="s">
        <v>58</v>
      </c>
      <c r="O70">
        <v>0</v>
      </c>
    </row>
    <row r="71" spans="1:20" x14ac:dyDescent="0.35">
      <c r="A71">
        <v>106</v>
      </c>
      <c r="B71" s="7">
        <f ca="1">TODAY()</f>
        <v>44571</v>
      </c>
      <c r="C71" t="e" vm="59">
        <v>#VALUE!</v>
      </c>
      <c r="D71" t="s">
        <v>140</v>
      </c>
      <c r="E71">
        <v>295</v>
      </c>
      <c r="F71">
        <v>14</v>
      </c>
      <c r="G71">
        <v>21</v>
      </c>
      <c r="H71">
        <v>36.799999999999997</v>
      </c>
      <c r="I71">
        <v>76.599999999999994</v>
      </c>
      <c r="J71">
        <v>2</v>
      </c>
      <c r="K71">
        <v>23</v>
      </c>
      <c r="L71">
        <v>40</v>
      </c>
      <c r="M71" t="s">
        <v>58</v>
      </c>
      <c r="N71" t="s">
        <v>58</v>
      </c>
      <c r="O71">
        <v>0.08</v>
      </c>
    </row>
    <row r="72" spans="1:20" x14ac:dyDescent="0.35">
      <c r="A72">
        <v>57</v>
      </c>
      <c r="B72" s="7">
        <f ca="1">TODAY()</f>
        <v>44571</v>
      </c>
      <c r="C72" t="e" vm="60">
        <v>#VALUE!</v>
      </c>
      <c r="D72" t="s">
        <v>77</v>
      </c>
      <c r="E72">
        <v>299</v>
      </c>
      <c r="F72">
        <v>4.6900000000000004</v>
      </c>
      <c r="G72">
        <v>64</v>
      </c>
      <c r="H72">
        <v>40.799999999999997</v>
      </c>
      <c r="I72">
        <v>96</v>
      </c>
      <c r="J72">
        <v>10</v>
      </c>
      <c r="K72">
        <v>41</v>
      </c>
      <c r="L72">
        <v>40</v>
      </c>
      <c r="M72" t="s">
        <v>58</v>
      </c>
      <c r="N72" t="s">
        <v>58</v>
      </c>
      <c r="O72">
        <v>0.67</v>
      </c>
    </row>
    <row r="73" spans="1:20" x14ac:dyDescent="0.35">
      <c r="A73">
        <v>6</v>
      </c>
      <c r="B73" s="7">
        <f ca="1">TODAY()</f>
        <v>44571</v>
      </c>
      <c r="C73" t="e" vm="61">
        <v>#VALUE!</v>
      </c>
      <c r="D73" t="s">
        <v>216</v>
      </c>
      <c r="E73">
        <v>316</v>
      </c>
      <c r="F73">
        <v>20.6</v>
      </c>
      <c r="G73">
        <v>15.2</v>
      </c>
      <c r="H73">
        <v>11.9</v>
      </c>
      <c r="I73">
        <v>86</v>
      </c>
      <c r="J73">
        <v>2</v>
      </c>
      <c r="K73">
        <v>55</v>
      </c>
      <c r="L73">
        <v>6</v>
      </c>
      <c r="M73" t="s">
        <v>58</v>
      </c>
      <c r="N73" t="s">
        <v>58</v>
      </c>
      <c r="O73">
        <v>6.75</v>
      </c>
    </row>
    <row r="74" spans="1:20" x14ac:dyDescent="0.35">
      <c r="A74">
        <v>58</v>
      </c>
      <c r="B74" s="7">
        <f ca="1">TODAY()</f>
        <v>44571</v>
      </c>
      <c r="C74" t="e" vm="62">
        <v>#VALUE!</v>
      </c>
      <c r="D74" t="s">
        <v>79</v>
      </c>
      <c r="E74">
        <v>316</v>
      </c>
      <c r="F74">
        <v>7.4</v>
      </c>
      <c r="G74">
        <v>44.2</v>
      </c>
      <c r="H74">
        <v>24.5</v>
      </c>
      <c r="I74">
        <v>44.6</v>
      </c>
      <c r="J74">
        <v>2</v>
      </c>
      <c r="K74">
        <v>10.4</v>
      </c>
      <c r="L74">
        <v>32</v>
      </c>
      <c r="M74" t="s">
        <v>58</v>
      </c>
      <c r="N74" t="s">
        <v>69</v>
      </c>
      <c r="O74">
        <v>0.66</v>
      </c>
    </row>
    <row r="75" spans="1:20" x14ac:dyDescent="0.35">
      <c r="A75">
        <v>22</v>
      </c>
      <c r="B75" s="7">
        <f ca="1">TODAY()</f>
        <v>44571</v>
      </c>
      <c r="C75" t="e" vm="63">
        <v>#VALUE!</v>
      </c>
      <c r="D75" t="s">
        <v>220</v>
      </c>
      <c r="E75">
        <v>346</v>
      </c>
      <c r="F75">
        <v>12.5</v>
      </c>
      <c r="G75">
        <v>27.8</v>
      </c>
      <c r="H75">
        <v>25.7</v>
      </c>
      <c r="I75">
        <v>53.2</v>
      </c>
      <c r="J75">
        <v>10</v>
      </c>
      <c r="K75">
        <v>57</v>
      </c>
      <c r="L75">
        <v>30</v>
      </c>
      <c r="M75" t="s">
        <v>58</v>
      </c>
      <c r="N75" t="s">
        <v>58</v>
      </c>
      <c r="O75">
        <v>2.31</v>
      </c>
      <c r="Q75" t="s">
        <v>9</v>
      </c>
    </row>
    <row r="76" spans="1:20" x14ac:dyDescent="0.35">
      <c r="A76">
        <v>117</v>
      </c>
      <c r="B76" s="7">
        <f ca="1">TODAY()</f>
        <v>44571</v>
      </c>
      <c r="C76" t="e" vm="64">
        <v>#VALUE!</v>
      </c>
      <c r="D76" t="s">
        <v>116</v>
      </c>
      <c r="E76">
        <v>361</v>
      </c>
      <c r="F76">
        <v>5.37</v>
      </c>
      <c r="G76">
        <v>63.6</v>
      </c>
      <c r="H76">
        <v>29.3</v>
      </c>
      <c r="I76">
        <v>65.7</v>
      </c>
      <c r="J76">
        <v>5</v>
      </c>
      <c r="K76">
        <v>20</v>
      </c>
      <c r="L76">
        <v>18</v>
      </c>
      <c r="M76" t="s">
        <v>58</v>
      </c>
      <c r="N76" t="s">
        <v>58</v>
      </c>
      <c r="O76">
        <v>0</v>
      </c>
    </row>
    <row r="77" spans="1:20" x14ac:dyDescent="0.35">
      <c r="A77">
        <v>11</v>
      </c>
      <c r="B77" s="7">
        <f ca="1">TODAY()</f>
        <v>44571</v>
      </c>
      <c r="C77" t="e" vm="65">
        <v>#VALUE!</v>
      </c>
      <c r="D77" t="s">
        <v>215</v>
      </c>
      <c r="E77">
        <v>371</v>
      </c>
      <c r="F77">
        <v>16.2</v>
      </c>
      <c r="G77">
        <v>22.2</v>
      </c>
      <c r="H77">
        <v>15.7</v>
      </c>
      <c r="I77">
        <v>123</v>
      </c>
      <c r="J77">
        <v>2</v>
      </c>
      <c r="K77">
        <v>22.3</v>
      </c>
      <c r="L77">
        <v>20</v>
      </c>
      <c r="M77" t="s">
        <v>58</v>
      </c>
      <c r="N77" t="s">
        <v>58</v>
      </c>
      <c r="O77">
        <v>4.8499999999999996</v>
      </c>
    </row>
    <row r="78" spans="1:20" x14ac:dyDescent="0.35">
      <c r="A78" s="9">
        <v>1</v>
      </c>
      <c r="B78" s="10">
        <f ca="1">TODAY()</f>
        <v>44571</v>
      </c>
      <c r="C78" t="e" vm="66">
        <v>#VALUE!</v>
      </c>
      <c r="D78" s="9" t="s">
        <v>214</v>
      </c>
      <c r="E78" s="9">
        <v>378</v>
      </c>
      <c r="F78" s="9">
        <v>82.7</v>
      </c>
      <c r="G78" s="9">
        <v>6.65</v>
      </c>
      <c r="H78" s="9">
        <v>5.03</v>
      </c>
      <c r="I78" s="9">
        <v>223</v>
      </c>
      <c r="J78" s="9">
        <v>10</v>
      </c>
      <c r="K78" s="9">
        <v>7</v>
      </c>
      <c r="L78" s="9">
        <v>3</v>
      </c>
      <c r="M78" s="9" t="s">
        <v>58</v>
      </c>
      <c r="N78" s="9" t="s">
        <v>58</v>
      </c>
      <c r="O78" s="9">
        <v>11.6</v>
      </c>
      <c r="P78" s="9" t="s">
        <v>230</v>
      </c>
      <c r="Q78" s="9" t="s">
        <v>231</v>
      </c>
      <c r="R78" s="9" t="s">
        <v>232</v>
      </c>
      <c r="S78" s="9"/>
      <c r="T78" s="9" t="s">
        <v>234</v>
      </c>
    </row>
    <row r="79" spans="1:20" x14ac:dyDescent="0.35">
      <c r="A79">
        <v>72</v>
      </c>
      <c r="B79" s="7">
        <f ca="1">TODAY()</f>
        <v>44571</v>
      </c>
      <c r="C79" t="e" vm="67">
        <v>#VALUE!</v>
      </c>
      <c r="D79" t="s">
        <v>206</v>
      </c>
      <c r="E79">
        <v>419</v>
      </c>
      <c r="F79">
        <v>14.5</v>
      </c>
      <c r="G79">
        <v>30.1</v>
      </c>
      <c r="H79">
        <v>22.6</v>
      </c>
      <c r="I79">
        <v>73</v>
      </c>
      <c r="J79">
        <v>1</v>
      </c>
      <c r="K79">
        <v>15.8</v>
      </c>
      <c r="L79">
        <v>20</v>
      </c>
      <c r="M79" t="s">
        <v>58</v>
      </c>
      <c r="N79" t="s">
        <v>58</v>
      </c>
      <c r="O79">
        <v>0.42</v>
      </c>
    </row>
    <row r="80" spans="1:20" x14ac:dyDescent="0.35">
      <c r="A80">
        <v>101</v>
      </c>
      <c r="B80" s="7">
        <f ca="1">TODAY()</f>
        <v>44571</v>
      </c>
      <c r="C80" t="e" vm="68">
        <v>#VALUE!</v>
      </c>
      <c r="D80" t="s">
        <v>144</v>
      </c>
      <c r="E80">
        <v>429</v>
      </c>
      <c r="F80">
        <v>7.82</v>
      </c>
      <c r="G80">
        <v>57</v>
      </c>
      <c r="H80">
        <v>28.9</v>
      </c>
      <c r="I80">
        <v>43.6</v>
      </c>
      <c r="J80">
        <v>2</v>
      </c>
      <c r="K80">
        <v>13</v>
      </c>
      <c r="M80" t="s">
        <v>58</v>
      </c>
      <c r="N80" t="s">
        <v>58</v>
      </c>
      <c r="O80">
        <v>0.12</v>
      </c>
    </row>
    <row r="81" spans="1:15" x14ac:dyDescent="0.35">
      <c r="A81">
        <v>46</v>
      </c>
      <c r="B81" s="7">
        <f ca="1">TODAY()</f>
        <v>44571</v>
      </c>
      <c r="C81" t="e" vm="69">
        <v>#VALUE!</v>
      </c>
      <c r="D81" t="s">
        <v>67</v>
      </c>
      <c r="E81">
        <v>452</v>
      </c>
      <c r="F81">
        <v>32.1</v>
      </c>
      <c r="G81">
        <v>11.9</v>
      </c>
      <c r="H81">
        <v>9.44</v>
      </c>
      <c r="I81">
        <v>309</v>
      </c>
      <c r="J81">
        <v>1</v>
      </c>
      <c r="K81">
        <v>31.1</v>
      </c>
      <c r="L81">
        <v>15</v>
      </c>
      <c r="M81" t="s">
        <v>58</v>
      </c>
      <c r="N81" t="s">
        <v>58</v>
      </c>
      <c r="O81">
        <v>0.89</v>
      </c>
    </row>
    <row r="82" spans="1:15" x14ac:dyDescent="0.35">
      <c r="A82">
        <v>150</v>
      </c>
      <c r="B82" s="7">
        <f ca="1">TODAY()</f>
        <v>44571</v>
      </c>
      <c r="C82" t="e" vm="70">
        <v>#VALUE!</v>
      </c>
      <c r="D82" t="s">
        <v>50</v>
      </c>
      <c r="E82">
        <v>470</v>
      </c>
      <c r="F82">
        <v>-40</v>
      </c>
      <c r="H82">
        <v>324</v>
      </c>
      <c r="I82">
        <v>135</v>
      </c>
      <c r="J82">
        <v>2</v>
      </c>
      <c r="K82">
        <v>11.9</v>
      </c>
      <c r="L82">
        <v>40</v>
      </c>
      <c r="M82" t="s">
        <v>58</v>
      </c>
      <c r="N82" t="s">
        <v>58</v>
      </c>
      <c r="O82">
        <v>0</v>
      </c>
    </row>
    <row r="83" spans="1:15" x14ac:dyDescent="0.35">
      <c r="A83">
        <v>36</v>
      </c>
      <c r="B83" s="7">
        <f ca="1">TODAY()</f>
        <v>44571</v>
      </c>
      <c r="C83" t="e" vm="71">
        <v>#VALUE!</v>
      </c>
      <c r="D83" t="s">
        <v>178</v>
      </c>
      <c r="E83">
        <v>488</v>
      </c>
      <c r="F83">
        <v>43</v>
      </c>
      <c r="G83">
        <v>11.4</v>
      </c>
      <c r="H83">
        <v>32.299999999999997</v>
      </c>
      <c r="I83">
        <v>195</v>
      </c>
      <c r="J83">
        <v>5</v>
      </c>
      <c r="K83">
        <v>61</v>
      </c>
      <c r="L83">
        <v>6</v>
      </c>
      <c r="M83" t="s">
        <v>58</v>
      </c>
      <c r="N83" t="s">
        <v>58</v>
      </c>
      <c r="O83">
        <v>1.28</v>
      </c>
    </row>
    <row r="84" spans="1:15" x14ac:dyDescent="0.35">
      <c r="A84">
        <v>29</v>
      </c>
      <c r="B84" s="7">
        <f ca="1">TODAY()</f>
        <v>44571</v>
      </c>
      <c r="C84" t="e" vm="72">
        <v>#VALUE!</v>
      </c>
      <c r="D84" t="s">
        <v>148</v>
      </c>
      <c r="E84">
        <v>507</v>
      </c>
      <c r="F84">
        <v>9.2200000000000006</v>
      </c>
      <c r="G84">
        <v>54.3</v>
      </c>
      <c r="H84">
        <v>36.1</v>
      </c>
      <c r="I84">
        <v>30.5</v>
      </c>
      <c r="J84">
        <v>1</v>
      </c>
      <c r="K84">
        <v>18</v>
      </c>
      <c r="L84">
        <v>14</v>
      </c>
      <c r="M84" t="s">
        <v>58</v>
      </c>
      <c r="N84" t="s">
        <v>58</v>
      </c>
      <c r="O84">
        <v>1.48</v>
      </c>
    </row>
    <row r="85" spans="1:15" x14ac:dyDescent="0.35">
      <c r="A85">
        <v>111</v>
      </c>
      <c r="B85" s="7">
        <f ca="1">TODAY()</f>
        <v>44571</v>
      </c>
      <c r="C85" t="s">
        <v>105</v>
      </c>
      <c r="D85" t="s">
        <v>105</v>
      </c>
      <c r="E85">
        <v>513</v>
      </c>
      <c r="F85">
        <v>6.64</v>
      </c>
      <c r="G85">
        <v>77.599999999999994</v>
      </c>
      <c r="H85">
        <v>40.299999999999997</v>
      </c>
      <c r="I85">
        <v>37.6</v>
      </c>
      <c r="J85">
        <v>2</v>
      </c>
      <c r="K85">
        <v>41</v>
      </c>
      <c r="L85">
        <v>56</v>
      </c>
      <c r="M85" t="s">
        <v>58</v>
      </c>
      <c r="N85" t="s">
        <v>58</v>
      </c>
      <c r="O85">
        <v>0</v>
      </c>
    </row>
    <row r="86" spans="1:15" x14ac:dyDescent="0.35">
      <c r="A86">
        <v>75</v>
      </c>
      <c r="B86" s="7">
        <f ca="1">TODAY()</f>
        <v>44571</v>
      </c>
      <c r="C86" t="e" vm="73">
        <v>#VALUE!</v>
      </c>
      <c r="D86" t="s">
        <v>121</v>
      </c>
      <c r="E86">
        <v>516</v>
      </c>
      <c r="G86">
        <v>58</v>
      </c>
      <c r="H86">
        <v>68</v>
      </c>
      <c r="J86">
        <v>2</v>
      </c>
      <c r="K86">
        <v>50</v>
      </c>
      <c r="M86" t="s">
        <v>58</v>
      </c>
      <c r="N86" t="s">
        <v>58</v>
      </c>
      <c r="O86">
        <v>0.39</v>
      </c>
    </row>
    <row r="87" spans="1:15" x14ac:dyDescent="0.35">
      <c r="A87">
        <v>77</v>
      </c>
      <c r="B87" s="7">
        <f ca="1">TODAY()</f>
        <v>44571</v>
      </c>
      <c r="C87" t="e" vm="74">
        <v>#VALUE!</v>
      </c>
      <c r="D87" t="s">
        <v>143</v>
      </c>
      <c r="E87">
        <v>538</v>
      </c>
      <c r="F87">
        <v>18.2</v>
      </c>
      <c r="G87">
        <v>29.5</v>
      </c>
      <c r="H87">
        <v>28.6</v>
      </c>
      <c r="I87">
        <v>57.5</v>
      </c>
      <c r="J87">
        <v>2</v>
      </c>
      <c r="K87">
        <v>31</v>
      </c>
      <c r="L87">
        <v>41</v>
      </c>
      <c r="M87" t="s">
        <v>58</v>
      </c>
      <c r="N87" t="s">
        <v>58</v>
      </c>
      <c r="O87">
        <v>0.37</v>
      </c>
    </row>
    <row r="88" spans="1:15" x14ac:dyDescent="0.35">
      <c r="A88">
        <v>47</v>
      </c>
      <c r="B88" s="7">
        <f ca="1">TODAY()</f>
        <v>44571</v>
      </c>
      <c r="C88" t="e" vm="75">
        <v>#VALUE!</v>
      </c>
      <c r="D88" t="s">
        <v>195</v>
      </c>
      <c r="E88">
        <v>575</v>
      </c>
      <c r="F88">
        <v>17.8</v>
      </c>
      <c r="G88">
        <v>32.6</v>
      </c>
      <c r="H88">
        <v>27.7</v>
      </c>
      <c r="I88">
        <v>65.400000000000006</v>
      </c>
      <c r="J88">
        <v>2</v>
      </c>
      <c r="K88">
        <v>13</v>
      </c>
      <c r="L88">
        <v>50</v>
      </c>
      <c r="M88" t="s">
        <v>58</v>
      </c>
      <c r="N88" t="s">
        <v>58</v>
      </c>
      <c r="O88">
        <v>0.87</v>
      </c>
    </row>
    <row r="89" spans="1:15" x14ac:dyDescent="0.35">
      <c r="A89">
        <v>118</v>
      </c>
      <c r="B89" s="7">
        <f ca="1">TODAY()</f>
        <v>44571</v>
      </c>
      <c r="C89" t="e" vm="76">
        <v>#VALUE!</v>
      </c>
      <c r="D89" t="s">
        <v>78</v>
      </c>
      <c r="E89">
        <v>595</v>
      </c>
      <c r="F89">
        <v>11.6</v>
      </c>
      <c r="G89">
        <v>51.3</v>
      </c>
      <c r="H89">
        <v>43</v>
      </c>
      <c r="I89">
        <v>53</v>
      </c>
      <c r="J89">
        <v>1</v>
      </c>
      <c r="K89">
        <v>43</v>
      </c>
      <c r="L89">
        <v>60</v>
      </c>
      <c r="M89" t="s">
        <v>58</v>
      </c>
      <c r="N89" t="s">
        <v>58</v>
      </c>
      <c r="O89">
        <v>0</v>
      </c>
    </row>
    <row r="90" spans="1:15" x14ac:dyDescent="0.35">
      <c r="B90" s="7"/>
      <c r="D90" s="53" t="s">
        <v>342</v>
      </c>
      <c r="E90">
        <v>598</v>
      </c>
    </row>
    <row r="91" spans="1:15" x14ac:dyDescent="0.35">
      <c r="A91">
        <v>50</v>
      </c>
      <c r="B91" s="7">
        <f ca="1">TODAY()</f>
        <v>44571</v>
      </c>
      <c r="C91" t="e" vm="77">
        <v>#VALUE!</v>
      </c>
      <c r="D91" t="s">
        <v>119</v>
      </c>
      <c r="E91">
        <v>605</v>
      </c>
      <c r="F91">
        <v>12.7</v>
      </c>
      <c r="G91">
        <v>47.7</v>
      </c>
      <c r="H91">
        <v>22.8</v>
      </c>
      <c r="I91">
        <v>176</v>
      </c>
      <c r="J91">
        <v>5</v>
      </c>
      <c r="K91">
        <v>20</v>
      </c>
      <c r="L91">
        <v>11</v>
      </c>
      <c r="M91" t="s">
        <v>58</v>
      </c>
      <c r="N91" t="s">
        <v>58</v>
      </c>
      <c r="O91">
        <v>0.83</v>
      </c>
    </row>
    <row r="92" spans="1:15" x14ac:dyDescent="0.35">
      <c r="A92">
        <v>113</v>
      </c>
      <c r="B92" s="7">
        <f ca="1">TODAY()</f>
        <v>44571</v>
      </c>
      <c r="C92" t="s">
        <v>107</v>
      </c>
      <c r="D92" t="s">
        <v>107</v>
      </c>
      <c r="E92">
        <v>627</v>
      </c>
      <c r="F92">
        <v>-7.85</v>
      </c>
      <c r="H92">
        <v>22.6</v>
      </c>
      <c r="I92">
        <v>-61</v>
      </c>
      <c r="J92">
        <v>10</v>
      </c>
      <c r="K92">
        <v>3.7</v>
      </c>
      <c r="L92">
        <v>60</v>
      </c>
      <c r="M92" t="s">
        <v>69</v>
      </c>
      <c r="N92" t="s">
        <v>58</v>
      </c>
      <c r="O92">
        <v>0</v>
      </c>
    </row>
    <row r="93" spans="1:15" x14ac:dyDescent="0.35">
      <c r="A93">
        <v>78</v>
      </c>
      <c r="B93" s="7">
        <f ca="1">TODAY()</f>
        <v>44571</v>
      </c>
      <c r="C93" t="e" vm="78">
        <v>#VALUE!</v>
      </c>
      <c r="D93" t="s">
        <v>12</v>
      </c>
      <c r="E93">
        <v>641</v>
      </c>
      <c r="F93">
        <v>5.74</v>
      </c>
      <c r="G93">
        <v>112</v>
      </c>
      <c r="H93">
        <v>69.8</v>
      </c>
      <c r="I93">
        <v>44</v>
      </c>
      <c r="J93">
        <v>10</v>
      </c>
      <c r="K93">
        <v>1</v>
      </c>
      <c r="L93">
        <v>18</v>
      </c>
      <c r="M93" t="s">
        <v>58</v>
      </c>
      <c r="N93" t="s">
        <v>58</v>
      </c>
      <c r="O93">
        <v>0.32</v>
      </c>
    </row>
    <row r="94" spans="1:15" x14ac:dyDescent="0.35">
      <c r="A94">
        <v>115</v>
      </c>
      <c r="B94" s="7">
        <f ca="1">TODAY()</f>
        <v>44571</v>
      </c>
      <c r="C94" t="e" vm="79">
        <v>#VALUE!</v>
      </c>
      <c r="D94" t="s">
        <v>204</v>
      </c>
      <c r="E94">
        <v>669</v>
      </c>
      <c r="F94">
        <v>32.6</v>
      </c>
      <c r="G94">
        <v>20.5</v>
      </c>
      <c r="H94">
        <v>17.5</v>
      </c>
      <c r="I94">
        <v>338</v>
      </c>
      <c r="J94">
        <v>2</v>
      </c>
      <c r="K94">
        <v>45</v>
      </c>
      <c r="L94">
        <v>8</v>
      </c>
      <c r="M94" t="s">
        <v>58</v>
      </c>
      <c r="N94" t="s">
        <v>69</v>
      </c>
      <c r="O94">
        <v>0</v>
      </c>
    </row>
    <row r="95" spans="1:15" x14ac:dyDescent="0.35">
      <c r="A95">
        <v>69</v>
      </c>
      <c r="B95" s="7">
        <f ca="1">TODAY()</f>
        <v>44571</v>
      </c>
      <c r="C95" t="e" vm="80">
        <v>#VALUE!</v>
      </c>
      <c r="D95" s="53" t="s">
        <v>160</v>
      </c>
      <c r="E95">
        <v>702</v>
      </c>
      <c r="F95">
        <v>23.4</v>
      </c>
      <c r="G95">
        <v>30</v>
      </c>
      <c r="H95">
        <v>27.9</v>
      </c>
      <c r="I95">
        <v>101</v>
      </c>
      <c r="J95">
        <v>10</v>
      </c>
      <c r="K95">
        <v>17</v>
      </c>
      <c r="L95">
        <v>135</v>
      </c>
      <c r="M95" t="s">
        <v>58</v>
      </c>
      <c r="N95" t="s">
        <v>58</v>
      </c>
      <c r="O95">
        <v>0.5</v>
      </c>
    </row>
    <row r="96" spans="1:15" x14ac:dyDescent="0.35">
      <c r="A96">
        <v>94</v>
      </c>
      <c r="B96" s="7">
        <f ca="1">TODAY()</f>
        <v>44571</v>
      </c>
      <c r="C96" t="s">
        <v>108</v>
      </c>
      <c r="D96" t="s">
        <v>108</v>
      </c>
      <c r="E96">
        <v>702</v>
      </c>
      <c r="F96">
        <v>7.05</v>
      </c>
      <c r="G96">
        <v>100</v>
      </c>
      <c r="H96">
        <v>54</v>
      </c>
      <c r="I96">
        <v>35.200000000000003</v>
      </c>
      <c r="J96">
        <v>10</v>
      </c>
      <c r="K96">
        <v>20</v>
      </c>
      <c r="L96">
        <v>40</v>
      </c>
      <c r="M96" t="s">
        <v>58</v>
      </c>
      <c r="N96" t="s">
        <v>58</v>
      </c>
      <c r="O96">
        <v>0.17</v>
      </c>
    </row>
    <row r="97" spans="1:17" x14ac:dyDescent="0.35">
      <c r="A97">
        <v>99</v>
      </c>
      <c r="B97" s="7">
        <f ca="1">TODAY()</f>
        <v>44571</v>
      </c>
      <c r="C97" t="e" vm="81">
        <v>#VALUE!</v>
      </c>
      <c r="D97" t="s">
        <v>200</v>
      </c>
      <c r="E97">
        <v>714</v>
      </c>
      <c r="F97">
        <v>21.9</v>
      </c>
      <c r="G97">
        <v>32.299999999999997</v>
      </c>
      <c r="H97">
        <v>41.8</v>
      </c>
      <c r="I97">
        <v>113</v>
      </c>
      <c r="J97">
        <v>2</v>
      </c>
      <c r="K97">
        <v>23</v>
      </c>
      <c r="L97">
        <v>40</v>
      </c>
      <c r="M97" t="s">
        <v>58</v>
      </c>
      <c r="N97" t="s">
        <v>58</v>
      </c>
      <c r="O97">
        <v>0.14000000000000001</v>
      </c>
    </row>
    <row r="98" spans="1:17" x14ac:dyDescent="0.35">
      <c r="A98">
        <v>55</v>
      </c>
      <c r="B98" s="7">
        <f ca="1">TODAY()</f>
        <v>44571</v>
      </c>
      <c r="C98" t="e" vm="82">
        <v>#VALUE!</v>
      </c>
      <c r="D98" t="s">
        <v>183</v>
      </c>
      <c r="E98">
        <v>721</v>
      </c>
      <c r="F98">
        <v>229</v>
      </c>
      <c r="G98">
        <v>3.15</v>
      </c>
      <c r="H98">
        <v>8.2799999999999994</v>
      </c>
      <c r="I98">
        <v>575</v>
      </c>
      <c r="J98">
        <v>10</v>
      </c>
      <c r="K98">
        <v>28</v>
      </c>
      <c r="L98">
        <v>8</v>
      </c>
      <c r="M98" t="s">
        <v>58</v>
      </c>
      <c r="N98" t="s">
        <v>58</v>
      </c>
      <c r="O98">
        <v>0.69</v>
      </c>
      <c r="P98" t="s">
        <v>287</v>
      </c>
      <c r="Q98" t="s">
        <v>9</v>
      </c>
    </row>
    <row r="99" spans="1:17" x14ac:dyDescent="0.35">
      <c r="A99">
        <v>143</v>
      </c>
      <c r="B99" s="7">
        <f ca="1">TODAY()</f>
        <v>44571</v>
      </c>
      <c r="C99" t="e" vm="83">
        <v>#VALUE!</v>
      </c>
      <c r="D99" t="s">
        <v>174</v>
      </c>
      <c r="E99">
        <v>723</v>
      </c>
      <c r="F99">
        <v>3.28</v>
      </c>
      <c r="G99">
        <v>211</v>
      </c>
      <c r="H99">
        <v>21.6</v>
      </c>
      <c r="I99">
        <v>28.2</v>
      </c>
      <c r="J99">
        <v>10</v>
      </c>
      <c r="K99">
        <v>31</v>
      </c>
      <c r="M99" t="s">
        <v>58</v>
      </c>
      <c r="N99" t="s">
        <v>58</v>
      </c>
      <c r="O99">
        <v>0</v>
      </c>
    </row>
    <row r="100" spans="1:17" x14ac:dyDescent="0.35">
      <c r="A100">
        <v>63</v>
      </c>
      <c r="B100" s="7">
        <f ca="1">TODAY()</f>
        <v>44571</v>
      </c>
      <c r="C100" t="e" vm="84">
        <v>#VALUE!</v>
      </c>
      <c r="D100" t="s">
        <v>114</v>
      </c>
      <c r="E100">
        <v>724</v>
      </c>
      <c r="F100">
        <v>89</v>
      </c>
      <c r="G100">
        <v>8.1300000000000008</v>
      </c>
      <c r="H100">
        <v>29.3</v>
      </c>
      <c r="I100">
        <v>400</v>
      </c>
      <c r="J100">
        <v>1</v>
      </c>
      <c r="K100">
        <v>20</v>
      </c>
      <c r="L100">
        <v>30</v>
      </c>
      <c r="M100" t="s">
        <v>58</v>
      </c>
      <c r="N100" t="s">
        <v>58</v>
      </c>
      <c r="O100">
        <v>0.55000000000000004</v>
      </c>
    </row>
    <row r="101" spans="1:17" x14ac:dyDescent="0.35">
      <c r="A101">
        <v>62</v>
      </c>
      <c r="B101" s="7">
        <f ca="1">TODAY()</f>
        <v>44571</v>
      </c>
      <c r="C101" t="e" vm="85">
        <v>#VALUE!</v>
      </c>
      <c r="D101" t="s">
        <v>18</v>
      </c>
      <c r="E101">
        <v>728</v>
      </c>
      <c r="F101">
        <v>7.87</v>
      </c>
      <c r="G101">
        <v>86.5</v>
      </c>
      <c r="H101">
        <v>13.4</v>
      </c>
      <c r="I101">
        <v>158</v>
      </c>
      <c r="J101">
        <v>1</v>
      </c>
      <c r="K101">
        <v>12</v>
      </c>
      <c r="L101">
        <v>40</v>
      </c>
      <c r="M101" t="s">
        <v>58</v>
      </c>
      <c r="N101" t="s">
        <v>58</v>
      </c>
      <c r="O101">
        <v>0.56000000000000005</v>
      </c>
    </row>
    <row r="102" spans="1:17" x14ac:dyDescent="0.35">
      <c r="A102">
        <v>84</v>
      </c>
      <c r="B102" s="7">
        <f ca="1">TODAY()</f>
        <v>44571</v>
      </c>
      <c r="C102" t="e" vm="86">
        <v>#VALUE!</v>
      </c>
      <c r="D102" t="s">
        <v>132</v>
      </c>
      <c r="E102">
        <v>736</v>
      </c>
      <c r="F102">
        <v>30.7</v>
      </c>
      <c r="G102">
        <v>24</v>
      </c>
      <c r="H102">
        <v>17.5</v>
      </c>
      <c r="I102">
        <v>227</v>
      </c>
      <c r="J102">
        <v>2</v>
      </c>
      <c r="K102">
        <v>1.75</v>
      </c>
      <c r="L102">
        <v>30</v>
      </c>
      <c r="M102" t="s">
        <v>58</v>
      </c>
      <c r="N102" t="s">
        <v>58</v>
      </c>
      <c r="O102">
        <v>0.27</v>
      </c>
    </row>
    <row r="103" spans="1:17" x14ac:dyDescent="0.35">
      <c r="A103">
        <v>34</v>
      </c>
      <c r="B103" s="7">
        <f ca="1">TODAY()</f>
        <v>44571</v>
      </c>
      <c r="C103" t="e" vm="87">
        <v>#VALUE!</v>
      </c>
      <c r="D103" t="s">
        <v>202</v>
      </c>
      <c r="E103">
        <v>747</v>
      </c>
      <c r="F103">
        <v>41.5</v>
      </c>
      <c r="G103">
        <v>17.7</v>
      </c>
      <c r="H103">
        <v>31.4</v>
      </c>
      <c r="I103">
        <v>273</v>
      </c>
      <c r="J103">
        <v>2</v>
      </c>
      <c r="K103">
        <v>21</v>
      </c>
      <c r="L103">
        <v>15</v>
      </c>
      <c r="M103" t="s">
        <v>58</v>
      </c>
      <c r="N103" t="s">
        <v>69</v>
      </c>
      <c r="O103">
        <v>1.34</v>
      </c>
    </row>
    <row r="104" spans="1:17" x14ac:dyDescent="0.35">
      <c r="A104">
        <v>100</v>
      </c>
      <c r="B104" s="7">
        <f ca="1">TODAY()</f>
        <v>44571</v>
      </c>
      <c r="C104" t="e" vm="88">
        <v>#VALUE!</v>
      </c>
      <c r="D104" t="s">
        <v>135</v>
      </c>
      <c r="E104">
        <v>833</v>
      </c>
      <c r="F104">
        <v>5.2</v>
      </c>
      <c r="G104">
        <v>157</v>
      </c>
      <c r="H104">
        <v>157</v>
      </c>
      <c r="I104">
        <v>20.399999999999999</v>
      </c>
      <c r="J104">
        <v>2</v>
      </c>
      <c r="K104">
        <v>46.4</v>
      </c>
      <c r="L104">
        <v>190</v>
      </c>
      <c r="M104" t="s">
        <v>58</v>
      </c>
      <c r="N104" t="s">
        <v>58</v>
      </c>
      <c r="O104">
        <v>0.12</v>
      </c>
    </row>
    <row r="105" spans="1:17" x14ac:dyDescent="0.35">
      <c r="A105">
        <v>45</v>
      </c>
      <c r="B105" s="7">
        <f ca="1">TODAY()</f>
        <v>44571</v>
      </c>
      <c r="C105" t="e" vm="89">
        <v>#VALUE!</v>
      </c>
      <c r="D105" t="s">
        <v>15</v>
      </c>
      <c r="E105">
        <v>834</v>
      </c>
      <c r="F105">
        <v>26</v>
      </c>
      <c r="G105">
        <v>32</v>
      </c>
      <c r="H105">
        <v>29.3</v>
      </c>
      <c r="I105">
        <v>206</v>
      </c>
      <c r="J105">
        <v>1</v>
      </c>
      <c r="K105">
        <v>27</v>
      </c>
      <c r="L105">
        <v>25</v>
      </c>
      <c r="M105" t="s">
        <v>58</v>
      </c>
      <c r="N105" t="s">
        <v>58</v>
      </c>
      <c r="O105">
        <v>0.9</v>
      </c>
    </row>
    <row r="106" spans="1:17" x14ac:dyDescent="0.35">
      <c r="A106">
        <v>82</v>
      </c>
      <c r="B106" s="7">
        <f ca="1">TODAY()</f>
        <v>44571</v>
      </c>
      <c r="C106" t="e" vm="90">
        <v>#VALUE!</v>
      </c>
      <c r="D106" t="s">
        <v>196</v>
      </c>
      <c r="E106">
        <v>861</v>
      </c>
      <c r="F106">
        <v>15.2</v>
      </c>
      <c r="G106">
        <v>56.7</v>
      </c>
      <c r="H106">
        <v>41.5</v>
      </c>
      <c r="I106">
        <v>91.5</v>
      </c>
      <c r="J106">
        <v>10</v>
      </c>
      <c r="K106">
        <v>19</v>
      </c>
      <c r="L106">
        <v>35</v>
      </c>
      <c r="M106" t="s">
        <v>58</v>
      </c>
      <c r="N106" t="s">
        <v>58</v>
      </c>
      <c r="O106">
        <v>0.28999999999999998</v>
      </c>
    </row>
    <row r="107" spans="1:17" x14ac:dyDescent="0.35">
      <c r="A107">
        <v>139</v>
      </c>
      <c r="B107" s="7">
        <f ca="1">TODAY()</f>
        <v>44571</v>
      </c>
      <c r="C107" t="e" vm="91">
        <v>#VALUE!</v>
      </c>
      <c r="D107" t="s">
        <v>209</v>
      </c>
      <c r="E107">
        <v>881</v>
      </c>
      <c r="F107">
        <v>9.24</v>
      </c>
      <c r="G107">
        <v>95.4</v>
      </c>
      <c r="H107">
        <v>419</v>
      </c>
      <c r="I107">
        <v>130</v>
      </c>
      <c r="J107">
        <v>2</v>
      </c>
      <c r="K107">
        <v>8</v>
      </c>
      <c r="L107">
        <v>30</v>
      </c>
      <c r="M107" t="s">
        <v>58</v>
      </c>
      <c r="N107" t="s">
        <v>58</v>
      </c>
      <c r="O107">
        <v>0</v>
      </c>
    </row>
    <row r="108" spans="1:17" x14ac:dyDescent="0.35">
      <c r="A108">
        <v>39</v>
      </c>
      <c r="B108" s="7">
        <f ca="1">TODAY()</f>
        <v>44571</v>
      </c>
      <c r="C108" t="e" vm="92">
        <v>#VALUE!</v>
      </c>
      <c r="D108" t="s">
        <v>83</v>
      </c>
      <c r="E108">
        <v>884</v>
      </c>
      <c r="F108">
        <v>26.8</v>
      </c>
      <c r="G108">
        <v>32.700000000000003</v>
      </c>
      <c r="H108">
        <v>28.9</v>
      </c>
      <c r="I108">
        <v>642</v>
      </c>
      <c r="J108">
        <v>10</v>
      </c>
      <c r="K108">
        <v>16</v>
      </c>
      <c r="L108">
        <v>30</v>
      </c>
      <c r="M108" t="s">
        <v>58</v>
      </c>
      <c r="N108" t="s">
        <v>58</v>
      </c>
      <c r="O108">
        <v>1.1299999999999999</v>
      </c>
    </row>
    <row r="109" spans="1:17" x14ac:dyDescent="0.35">
      <c r="A109">
        <v>61</v>
      </c>
      <c r="B109" s="7">
        <f ca="1">TODAY()</f>
        <v>44571</v>
      </c>
      <c r="C109" t="e" vm="93">
        <v>#VALUE!</v>
      </c>
      <c r="D109" t="s">
        <v>205</v>
      </c>
      <c r="E109">
        <v>885</v>
      </c>
      <c r="F109">
        <v>49.6</v>
      </c>
      <c r="G109">
        <v>18</v>
      </c>
      <c r="H109">
        <v>17.5</v>
      </c>
      <c r="I109">
        <v>560</v>
      </c>
      <c r="J109">
        <v>10</v>
      </c>
      <c r="K109">
        <v>46</v>
      </c>
      <c r="L109">
        <v>-4</v>
      </c>
      <c r="M109" t="s">
        <v>69</v>
      </c>
      <c r="N109" t="s">
        <v>69</v>
      </c>
      <c r="O109">
        <v>0.56000000000000005</v>
      </c>
    </row>
    <row r="110" spans="1:17" x14ac:dyDescent="0.35">
      <c r="A110">
        <v>76</v>
      </c>
      <c r="B110" s="7">
        <f ca="1">TODAY()</f>
        <v>44571</v>
      </c>
      <c r="C110" t="e" vm="94">
        <v>#VALUE!</v>
      </c>
      <c r="D110" t="s">
        <v>212</v>
      </c>
      <c r="E110">
        <v>887</v>
      </c>
      <c r="F110">
        <v>10.4</v>
      </c>
      <c r="G110">
        <v>85.4</v>
      </c>
      <c r="H110">
        <v>35.799999999999997</v>
      </c>
      <c r="I110">
        <v>258</v>
      </c>
      <c r="J110">
        <v>10</v>
      </c>
      <c r="K110">
        <v>31</v>
      </c>
      <c r="L110">
        <v>30</v>
      </c>
      <c r="M110" t="s">
        <v>58</v>
      </c>
      <c r="N110" t="s">
        <v>58</v>
      </c>
      <c r="O110">
        <v>0.39</v>
      </c>
    </row>
    <row r="111" spans="1:17" x14ac:dyDescent="0.35">
      <c r="A111">
        <v>140</v>
      </c>
      <c r="B111" s="7">
        <f ca="1">TODAY()</f>
        <v>44571</v>
      </c>
      <c r="C111" t="e" vm="95">
        <v>#VALUE!</v>
      </c>
      <c r="D111" t="s">
        <v>167</v>
      </c>
      <c r="E111">
        <v>922</v>
      </c>
      <c r="G111">
        <v>11</v>
      </c>
      <c r="H111">
        <v>84.1</v>
      </c>
      <c r="I111">
        <v>25.7</v>
      </c>
      <c r="J111">
        <v>10</v>
      </c>
      <c r="K111">
        <v>20</v>
      </c>
      <c r="L111">
        <v>8</v>
      </c>
      <c r="M111" t="s">
        <v>58</v>
      </c>
      <c r="N111" t="s">
        <v>58</v>
      </c>
      <c r="O111">
        <v>0</v>
      </c>
    </row>
    <row r="112" spans="1:17" x14ac:dyDescent="0.35">
      <c r="A112">
        <v>102</v>
      </c>
      <c r="B112" s="7">
        <f ca="1">TODAY()</f>
        <v>44571</v>
      </c>
      <c r="C112" t="e" vm="96">
        <v>#VALUE!</v>
      </c>
      <c r="D112" t="s">
        <v>213</v>
      </c>
      <c r="E112">
        <v>942</v>
      </c>
      <c r="F112">
        <v>40</v>
      </c>
      <c r="G112">
        <v>23.7</v>
      </c>
      <c r="H112">
        <v>21.6</v>
      </c>
      <c r="I112">
        <v>301</v>
      </c>
      <c r="J112">
        <v>10</v>
      </c>
      <c r="K112">
        <v>22</v>
      </c>
      <c r="L112">
        <v>27</v>
      </c>
      <c r="M112" t="s">
        <v>58</v>
      </c>
      <c r="N112" t="s">
        <v>58</v>
      </c>
      <c r="O112">
        <v>0.11</v>
      </c>
    </row>
    <row r="113" spans="1:17" x14ac:dyDescent="0.35">
      <c r="A113">
        <v>65</v>
      </c>
      <c r="B113" s="7">
        <f ca="1">TODAY()</f>
        <v>44571</v>
      </c>
      <c r="C113" t="e" vm="97">
        <v>#VALUE!</v>
      </c>
      <c r="D113" t="s">
        <v>14</v>
      </c>
      <c r="E113">
        <v>953</v>
      </c>
      <c r="F113">
        <v>32.1</v>
      </c>
      <c r="G113">
        <v>29.7</v>
      </c>
      <c r="H113">
        <v>29.3</v>
      </c>
      <c r="I113">
        <v>241</v>
      </c>
      <c r="J113">
        <v>2</v>
      </c>
      <c r="K113">
        <v>22</v>
      </c>
      <c r="L113">
        <v>22</v>
      </c>
      <c r="M113" t="s">
        <v>58</v>
      </c>
      <c r="N113" t="s">
        <v>69</v>
      </c>
      <c r="O113">
        <v>0.52</v>
      </c>
    </row>
    <row r="114" spans="1:17" x14ac:dyDescent="0.35">
      <c r="A114">
        <v>66</v>
      </c>
      <c r="B114" s="7">
        <f ca="1">TODAY()</f>
        <v>44571</v>
      </c>
      <c r="C114" t="e" vm="98">
        <v>#VALUE!</v>
      </c>
      <c r="D114" t="s">
        <v>192</v>
      </c>
      <c r="E114">
        <v>966</v>
      </c>
      <c r="F114">
        <v>21.9</v>
      </c>
      <c r="G114">
        <v>45.5</v>
      </c>
      <c r="H114">
        <v>51</v>
      </c>
      <c r="I114">
        <v>115</v>
      </c>
      <c r="J114">
        <v>1</v>
      </c>
      <c r="K114">
        <v>16</v>
      </c>
      <c r="L114">
        <v>16</v>
      </c>
      <c r="M114" t="s">
        <v>58</v>
      </c>
      <c r="N114" t="s">
        <v>58</v>
      </c>
      <c r="O114">
        <v>0.52</v>
      </c>
    </row>
    <row r="115" spans="1:17" x14ac:dyDescent="0.35">
      <c r="A115">
        <v>146</v>
      </c>
      <c r="B115" s="7">
        <f ca="1">TODAY()</f>
        <v>44571</v>
      </c>
      <c r="C115" t="e" vm="99">
        <v>#VALUE!</v>
      </c>
      <c r="D115" t="s">
        <v>207</v>
      </c>
      <c r="E115">
        <v>973</v>
      </c>
      <c r="G115">
        <v>35.700000000000003</v>
      </c>
      <c r="H115">
        <v>51</v>
      </c>
      <c r="I115">
        <v>103</v>
      </c>
      <c r="J115">
        <v>10</v>
      </c>
      <c r="K115">
        <v>12</v>
      </c>
      <c r="M115" t="s">
        <v>58</v>
      </c>
      <c r="N115" t="s">
        <v>58</v>
      </c>
      <c r="O115">
        <v>0</v>
      </c>
    </row>
    <row r="116" spans="1:17" x14ac:dyDescent="0.35">
      <c r="A116">
        <v>88</v>
      </c>
      <c r="B116" s="7">
        <f ca="1">TODAY()</f>
        <v>44571</v>
      </c>
      <c r="C116" t="e" vm="100">
        <v>#VALUE!</v>
      </c>
      <c r="D116" t="s">
        <v>221</v>
      </c>
      <c r="E116">
        <v>983</v>
      </c>
      <c r="F116">
        <v>18</v>
      </c>
      <c r="G116">
        <v>55.5</v>
      </c>
      <c r="H116">
        <v>28.8</v>
      </c>
      <c r="I116">
        <v>138</v>
      </c>
      <c r="J116">
        <v>5</v>
      </c>
      <c r="K116">
        <v>22</v>
      </c>
      <c r="L116">
        <v>41</v>
      </c>
      <c r="M116" t="s">
        <v>58</v>
      </c>
      <c r="N116" t="s">
        <v>58</v>
      </c>
      <c r="O116">
        <v>0.23</v>
      </c>
    </row>
    <row r="117" spans="1:17" x14ac:dyDescent="0.35">
      <c r="A117">
        <v>107</v>
      </c>
      <c r="B117" s="7">
        <f ca="1">TODAY()</f>
        <v>44571</v>
      </c>
      <c r="C117" t="e" vm="101">
        <v>#VALUE!</v>
      </c>
      <c r="D117" t="s">
        <v>189</v>
      </c>
      <c r="E117">
        <v>1033</v>
      </c>
      <c r="F117">
        <v>1.94</v>
      </c>
      <c r="G117">
        <v>460</v>
      </c>
      <c r="H117">
        <v>234</v>
      </c>
      <c r="I117">
        <v>63.2</v>
      </c>
      <c r="J117">
        <v>1</v>
      </c>
      <c r="K117">
        <v>12</v>
      </c>
      <c r="L117">
        <v>40</v>
      </c>
      <c r="M117" t="s">
        <v>58</v>
      </c>
      <c r="N117" t="s">
        <v>69</v>
      </c>
      <c r="O117">
        <v>0.06</v>
      </c>
    </row>
    <row r="118" spans="1:17" x14ac:dyDescent="0.35">
      <c r="A118">
        <v>114</v>
      </c>
      <c r="B118" s="7">
        <f ca="1">TODAY()</f>
        <v>44571</v>
      </c>
      <c r="C118" t="e" vm="102">
        <v>#VALUE!</v>
      </c>
      <c r="D118" t="s">
        <v>208</v>
      </c>
      <c r="E118">
        <v>1043</v>
      </c>
      <c r="F118">
        <v>36.4</v>
      </c>
      <c r="G118">
        <v>29</v>
      </c>
      <c r="H118">
        <v>17.5</v>
      </c>
      <c r="I118">
        <v>197</v>
      </c>
      <c r="J118">
        <v>10</v>
      </c>
      <c r="K118">
        <v>50</v>
      </c>
      <c r="L118">
        <v>20</v>
      </c>
      <c r="M118" t="s">
        <v>58</v>
      </c>
      <c r="N118" t="s">
        <v>69</v>
      </c>
      <c r="O118">
        <v>0</v>
      </c>
    </row>
    <row r="119" spans="1:17" x14ac:dyDescent="0.35">
      <c r="A119">
        <v>23</v>
      </c>
      <c r="B119" s="7">
        <f ca="1">TODAY()</f>
        <v>44571</v>
      </c>
      <c r="C119" t="e" vm="103">
        <v>#VALUE!</v>
      </c>
      <c r="D119" t="s">
        <v>182</v>
      </c>
      <c r="E119">
        <v>1101</v>
      </c>
      <c r="F119">
        <v>261</v>
      </c>
      <c r="G119">
        <v>4.24</v>
      </c>
      <c r="H119">
        <v>5.29</v>
      </c>
      <c r="I119">
        <v>749</v>
      </c>
      <c r="J119">
        <v>10</v>
      </c>
      <c r="K119">
        <v>27</v>
      </c>
      <c r="L119">
        <v>25</v>
      </c>
      <c r="M119" t="s">
        <v>58</v>
      </c>
      <c r="N119" t="s">
        <v>69</v>
      </c>
      <c r="O119">
        <v>2.27</v>
      </c>
      <c r="P119" t="s">
        <v>287</v>
      </c>
      <c r="Q119" t="s">
        <v>9</v>
      </c>
    </row>
    <row r="120" spans="1:17" x14ac:dyDescent="0.35">
      <c r="B120" s="7"/>
      <c r="D120" t="s">
        <v>338</v>
      </c>
      <c r="E120">
        <v>1166</v>
      </c>
    </row>
    <row r="121" spans="1:17" x14ac:dyDescent="0.35">
      <c r="A121">
        <v>92</v>
      </c>
      <c r="B121" s="7">
        <f ca="1">TODAY()</f>
        <v>44571</v>
      </c>
      <c r="C121" t="e" vm="104">
        <v>#VALUE!</v>
      </c>
      <c r="D121" t="s">
        <v>92</v>
      </c>
      <c r="E121">
        <v>1195</v>
      </c>
      <c r="F121">
        <v>12.4</v>
      </c>
      <c r="G121">
        <v>97.2</v>
      </c>
      <c r="H121">
        <v>69.8</v>
      </c>
      <c r="I121">
        <v>109</v>
      </c>
      <c r="J121">
        <v>10</v>
      </c>
      <c r="K121">
        <v>0.54</v>
      </c>
      <c r="L121">
        <v>30</v>
      </c>
      <c r="M121" t="s">
        <v>58</v>
      </c>
      <c r="N121" t="s">
        <v>58</v>
      </c>
      <c r="O121">
        <v>0.21</v>
      </c>
    </row>
    <row r="122" spans="1:17" x14ac:dyDescent="0.35">
      <c r="A122">
        <v>73</v>
      </c>
      <c r="B122" s="7">
        <f ca="1">TODAY()</f>
        <v>44571</v>
      </c>
      <c r="C122" t="e" vm="105">
        <v>#VALUE!</v>
      </c>
      <c r="D122" t="s">
        <v>198</v>
      </c>
      <c r="E122">
        <v>1199</v>
      </c>
      <c r="F122">
        <v>17.899999999999999</v>
      </c>
      <c r="G122">
        <v>67.099999999999994</v>
      </c>
      <c r="H122">
        <v>58</v>
      </c>
      <c r="I122">
        <v>155</v>
      </c>
      <c r="J122">
        <v>1</v>
      </c>
      <c r="K122">
        <v>8</v>
      </c>
      <c r="L122">
        <v>30</v>
      </c>
      <c r="M122" t="s">
        <v>58</v>
      </c>
      <c r="N122" t="s">
        <v>69</v>
      </c>
      <c r="O122">
        <v>0.42</v>
      </c>
    </row>
    <row r="123" spans="1:17" x14ac:dyDescent="0.35">
      <c r="A123">
        <v>19</v>
      </c>
      <c r="B123" s="7">
        <f ca="1">TODAY()</f>
        <v>44571</v>
      </c>
      <c r="C123" t="e" vm="106">
        <v>#VALUE!</v>
      </c>
      <c r="D123" t="s">
        <v>130</v>
      </c>
      <c r="E123">
        <v>1211</v>
      </c>
      <c r="F123">
        <v>105</v>
      </c>
      <c r="G123">
        <v>11.5</v>
      </c>
      <c r="H123">
        <v>24.5</v>
      </c>
      <c r="I123">
        <v>493</v>
      </c>
      <c r="J123">
        <v>10</v>
      </c>
      <c r="K123">
        <v>23</v>
      </c>
      <c r="L123">
        <v>30</v>
      </c>
      <c r="M123" t="s">
        <v>58</v>
      </c>
      <c r="N123" t="s">
        <v>58</v>
      </c>
      <c r="O123">
        <v>2.48</v>
      </c>
    </row>
    <row r="124" spans="1:17" x14ac:dyDescent="0.35">
      <c r="A124">
        <v>26</v>
      </c>
      <c r="B124" s="7">
        <f ca="1">TODAY()</f>
        <v>44571</v>
      </c>
      <c r="C124" t="e" vm="107">
        <v>#VALUE!</v>
      </c>
      <c r="D124" t="s">
        <v>127</v>
      </c>
      <c r="E124">
        <v>1317</v>
      </c>
      <c r="F124">
        <v>42.5</v>
      </c>
      <c r="G124">
        <v>31</v>
      </c>
      <c r="H124">
        <v>41.8</v>
      </c>
      <c r="I124">
        <v>224</v>
      </c>
      <c r="J124">
        <v>2</v>
      </c>
      <c r="K124">
        <v>25</v>
      </c>
      <c r="L124">
        <v>40</v>
      </c>
      <c r="M124" t="s">
        <v>58</v>
      </c>
      <c r="N124" t="s">
        <v>58</v>
      </c>
      <c r="O124">
        <v>1.67</v>
      </c>
    </row>
    <row r="125" spans="1:17" x14ac:dyDescent="0.35">
      <c r="A125">
        <v>25</v>
      </c>
      <c r="B125" s="7">
        <f ca="1">TODAY()</f>
        <v>44571</v>
      </c>
      <c r="C125" t="e" vm="108">
        <v>#VALUE!</v>
      </c>
      <c r="D125" t="s">
        <v>181</v>
      </c>
      <c r="E125">
        <v>1345</v>
      </c>
      <c r="F125">
        <v>36.5</v>
      </c>
      <c r="G125">
        <v>36.9</v>
      </c>
      <c r="H125">
        <v>25.7</v>
      </c>
      <c r="I125">
        <v>3570</v>
      </c>
      <c r="J125">
        <v>10</v>
      </c>
      <c r="K125">
        <v>80</v>
      </c>
      <c r="L125">
        <v>20</v>
      </c>
      <c r="M125" t="s">
        <v>58</v>
      </c>
      <c r="N125" t="s">
        <v>58</v>
      </c>
      <c r="O125">
        <v>1.78</v>
      </c>
    </row>
    <row r="126" spans="1:17" x14ac:dyDescent="0.35">
      <c r="A126">
        <v>70</v>
      </c>
      <c r="B126" s="7">
        <f ca="1">TODAY()</f>
        <v>44571</v>
      </c>
      <c r="C126" t="e" vm="109">
        <v>#VALUE!</v>
      </c>
      <c r="D126" t="s">
        <v>128</v>
      </c>
      <c r="E126">
        <v>1462</v>
      </c>
      <c r="F126">
        <v>62</v>
      </c>
      <c r="G126">
        <v>23.7</v>
      </c>
      <c r="H126">
        <v>17.5</v>
      </c>
      <c r="I126">
        <v>379</v>
      </c>
      <c r="J126">
        <v>1</v>
      </c>
      <c r="K126">
        <v>55</v>
      </c>
      <c r="L126">
        <v>20</v>
      </c>
      <c r="M126" t="s">
        <v>58</v>
      </c>
      <c r="N126" t="s">
        <v>58</v>
      </c>
      <c r="O126">
        <v>0.44</v>
      </c>
    </row>
    <row r="127" spans="1:17" x14ac:dyDescent="0.35">
      <c r="A127">
        <v>130</v>
      </c>
      <c r="B127" s="7">
        <f ca="1">TODAY()</f>
        <v>44571</v>
      </c>
      <c r="C127" t="e" vm="110">
        <v>#VALUE!</v>
      </c>
      <c r="D127" t="s">
        <v>142</v>
      </c>
      <c r="E127">
        <v>1472</v>
      </c>
      <c r="F127">
        <v>25.9</v>
      </c>
      <c r="G127">
        <v>58.1</v>
      </c>
      <c r="H127">
        <v>36.700000000000003</v>
      </c>
      <c r="I127">
        <v>153</v>
      </c>
      <c r="J127">
        <v>10</v>
      </c>
      <c r="K127">
        <v>28</v>
      </c>
      <c r="M127" t="s">
        <v>58</v>
      </c>
      <c r="N127" t="s">
        <v>69</v>
      </c>
      <c r="O127">
        <v>0</v>
      </c>
    </row>
    <row r="128" spans="1:17" x14ac:dyDescent="0.35">
      <c r="A128">
        <v>59</v>
      </c>
      <c r="B128" s="7">
        <f ca="1">TODAY()</f>
        <v>44571</v>
      </c>
      <c r="C128" t="e" vm="111">
        <v>#VALUE!</v>
      </c>
      <c r="D128" s="53" t="s">
        <v>117</v>
      </c>
      <c r="E128">
        <v>1487</v>
      </c>
      <c r="F128">
        <v>24.4</v>
      </c>
      <c r="G128">
        <v>60.9</v>
      </c>
      <c r="H128">
        <v>26.1</v>
      </c>
      <c r="I128">
        <v>89</v>
      </c>
      <c r="J128">
        <v>10</v>
      </c>
      <c r="K128">
        <v>64</v>
      </c>
      <c r="L128">
        <v>88</v>
      </c>
      <c r="M128" t="s">
        <v>58</v>
      </c>
      <c r="N128" t="s">
        <v>58</v>
      </c>
      <c r="O128">
        <v>0.61</v>
      </c>
    </row>
    <row r="129" spans="1:15" x14ac:dyDescent="0.35">
      <c r="A129">
        <v>98</v>
      </c>
      <c r="B129" s="7">
        <f ca="1">TODAY()</f>
        <v>44571</v>
      </c>
      <c r="C129" t="e" vm="112">
        <v>#VALUE!</v>
      </c>
      <c r="D129" t="s">
        <v>154</v>
      </c>
      <c r="E129">
        <v>1644</v>
      </c>
      <c r="F129">
        <v>15.6</v>
      </c>
      <c r="G129">
        <v>105</v>
      </c>
      <c r="H129">
        <v>28.9</v>
      </c>
      <c r="I129">
        <v>84</v>
      </c>
      <c r="J129">
        <v>10</v>
      </c>
      <c r="K129">
        <v>19</v>
      </c>
      <c r="L129">
        <v>126</v>
      </c>
      <c r="M129" t="s">
        <v>58</v>
      </c>
      <c r="N129" t="s">
        <v>58</v>
      </c>
      <c r="O129">
        <v>0.14000000000000001</v>
      </c>
    </row>
    <row r="130" spans="1:15" x14ac:dyDescent="0.35">
      <c r="A130">
        <v>108</v>
      </c>
      <c r="B130" s="7">
        <f ca="1">TODAY()</f>
        <v>44571</v>
      </c>
      <c r="C130" t="e" vm="113">
        <v>#VALUE!</v>
      </c>
      <c r="D130" t="s">
        <v>74</v>
      </c>
      <c r="E130">
        <v>1755</v>
      </c>
      <c r="F130">
        <v>50.4</v>
      </c>
      <c r="G130">
        <v>34.9</v>
      </c>
      <c r="H130">
        <v>17.5</v>
      </c>
      <c r="I130">
        <v>428</v>
      </c>
      <c r="J130">
        <v>5</v>
      </c>
      <c r="K130">
        <v>-4.2</v>
      </c>
      <c r="L130">
        <v>20</v>
      </c>
      <c r="M130" t="s">
        <v>58</v>
      </c>
      <c r="N130" t="s">
        <v>58</v>
      </c>
      <c r="O130">
        <v>0.05</v>
      </c>
    </row>
    <row r="131" spans="1:15" x14ac:dyDescent="0.35">
      <c r="A131">
        <v>83</v>
      </c>
      <c r="B131" s="7">
        <f ca="1">TODAY()</f>
        <v>44571</v>
      </c>
      <c r="C131" t="e" vm="114">
        <v>#VALUE!</v>
      </c>
      <c r="D131" t="s">
        <v>219</v>
      </c>
      <c r="E131">
        <v>1756</v>
      </c>
      <c r="F131">
        <v>41.9</v>
      </c>
      <c r="G131">
        <v>42</v>
      </c>
      <c r="H131">
        <v>26.1</v>
      </c>
      <c r="I131">
        <v>249</v>
      </c>
      <c r="J131">
        <v>5</v>
      </c>
      <c r="K131">
        <v>14</v>
      </c>
      <c r="L131">
        <v>24</v>
      </c>
      <c r="M131" t="s">
        <v>58</v>
      </c>
      <c r="N131" t="s">
        <v>58</v>
      </c>
      <c r="O131">
        <v>0.28000000000000003</v>
      </c>
    </row>
    <row r="132" spans="1:15" x14ac:dyDescent="0.35">
      <c r="A132">
        <v>103</v>
      </c>
      <c r="B132" s="7">
        <f ca="1">TODAY()</f>
        <v>44571</v>
      </c>
      <c r="C132" t="e" vm="115">
        <v>#VALUE!</v>
      </c>
      <c r="D132" t="s">
        <v>165</v>
      </c>
      <c r="E132">
        <v>1771</v>
      </c>
      <c r="F132">
        <v>26</v>
      </c>
      <c r="G132">
        <v>74.5</v>
      </c>
      <c r="H132">
        <v>36</v>
      </c>
      <c r="I132">
        <v>115</v>
      </c>
      <c r="J132">
        <v>10</v>
      </c>
      <c r="K132">
        <v>12.6</v>
      </c>
      <c r="L132">
        <v>30</v>
      </c>
      <c r="M132" t="s">
        <v>58</v>
      </c>
      <c r="N132" t="s">
        <v>58</v>
      </c>
      <c r="O132">
        <v>0.11</v>
      </c>
    </row>
    <row r="133" spans="1:15" x14ac:dyDescent="0.35">
      <c r="A133">
        <v>51</v>
      </c>
      <c r="B133" s="7">
        <f ca="1">TODAY()</f>
        <v>44571</v>
      </c>
      <c r="C133" t="e" vm="116">
        <v>#VALUE!</v>
      </c>
      <c r="D133" t="s">
        <v>203</v>
      </c>
      <c r="E133">
        <v>1800</v>
      </c>
      <c r="F133">
        <v>52.5</v>
      </c>
      <c r="G133">
        <v>34.4</v>
      </c>
      <c r="H133">
        <v>41.8</v>
      </c>
      <c r="I133">
        <v>259</v>
      </c>
      <c r="J133">
        <v>5</v>
      </c>
      <c r="K133">
        <v>19</v>
      </c>
      <c r="L133">
        <v>35</v>
      </c>
      <c r="M133" t="s">
        <v>58</v>
      </c>
      <c r="N133" t="s">
        <v>69</v>
      </c>
      <c r="O133">
        <v>0.83</v>
      </c>
    </row>
    <row r="134" spans="1:15" x14ac:dyDescent="0.35">
      <c r="A134">
        <v>91</v>
      </c>
      <c r="B134" s="7">
        <f ca="1">TODAY()</f>
        <v>44571</v>
      </c>
      <c r="C134" t="e" vm="117">
        <v>#VALUE!</v>
      </c>
      <c r="D134" t="s">
        <v>120</v>
      </c>
      <c r="E134">
        <v>1804</v>
      </c>
      <c r="F134">
        <v>66.3</v>
      </c>
      <c r="G134">
        <v>27.1</v>
      </c>
      <c r="H134">
        <v>15.3</v>
      </c>
      <c r="I134">
        <v>767</v>
      </c>
      <c r="J134">
        <v>2</v>
      </c>
      <c r="K134">
        <v>24.6</v>
      </c>
      <c r="L134">
        <v>18</v>
      </c>
      <c r="M134" t="s">
        <v>58</v>
      </c>
      <c r="N134" t="s">
        <v>58</v>
      </c>
      <c r="O134">
        <v>0.22</v>
      </c>
    </row>
    <row r="135" spans="1:15" x14ac:dyDescent="0.35">
      <c r="B135" s="7"/>
      <c r="D135" t="s">
        <v>341</v>
      </c>
      <c r="E135">
        <v>1824</v>
      </c>
    </row>
    <row r="136" spans="1:15" x14ac:dyDescent="0.35">
      <c r="A136">
        <v>121</v>
      </c>
      <c r="B136" s="7">
        <f ca="1">TODAY()</f>
        <v>44571</v>
      </c>
      <c r="C136" t="e" vm="118">
        <v>#VALUE!</v>
      </c>
      <c r="D136" t="s">
        <v>22</v>
      </c>
      <c r="E136">
        <v>1840</v>
      </c>
      <c r="F136">
        <v>-4.43</v>
      </c>
      <c r="H136">
        <v>35.799999999999997</v>
      </c>
      <c r="I136">
        <v>301</v>
      </c>
      <c r="J136">
        <v>5</v>
      </c>
      <c r="K136">
        <v>-58</v>
      </c>
      <c r="L136">
        <v>41</v>
      </c>
      <c r="M136" t="s">
        <v>69</v>
      </c>
      <c r="N136" t="s">
        <v>58</v>
      </c>
      <c r="O136">
        <v>0</v>
      </c>
    </row>
    <row r="137" spans="1:15" x14ac:dyDescent="0.35">
      <c r="B137" s="7"/>
      <c r="D137" s="53" t="s">
        <v>344</v>
      </c>
      <c r="E137">
        <v>1864</v>
      </c>
    </row>
    <row r="138" spans="1:15" x14ac:dyDescent="0.35">
      <c r="A138">
        <v>43</v>
      </c>
      <c r="B138" s="7">
        <f ca="1">TODAY()</f>
        <v>44571</v>
      </c>
      <c r="C138" t="e" vm="119">
        <v>#VALUE!</v>
      </c>
      <c r="D138" t="s">
        <v>23</v>
      </c>
      <c r="E138">
        <v>1886</v>
      </c>
      <c r="F138">
        <v>62.3</v>
      </c>
      <c r="G138">
        <v>30.5</v>
      </c>
      <c r="H138">
        <v>17.3</v>
      </c>
      <c r="I138">
        <v>545</v>
      </c>
      <c r="J138">
        <v>2</v>
      </c>
      <c r="K138">
        <v>16.5</v>
      </c>
      <c r="L138">
        <v>16</v>
      </c>
      <c r="M138" t="s">
        <v>58</v>
      </c>
      <c r="N138" t="s">
        <v>58</v>
      </c>
      <c r="O138">
        <v>0.95</v>
      </c>
    </row>
    <row r="139" spans="1:15" x14ac:dyDescent="0.35">
      <c r="A139">
        <v>32</v>
      </c>
      <c r="B139" s="7">
        <f ca="1">TODAY()</f>
        <v>44571</v>
      </c>
      <c r="C139" t="e" vm="120">
        <v>#VALUE!</v>
      </c>
      <c r="D139" t="s">
        <v>136</v>
      </c>
      <c r="E139">
        <v>1893</v>
      </c>
      <c r="F139">
        <v>49.2</v>
      </c>
      <c r="G139">
        <v>38.200000000000003</v>
      </c>
      <c r="H139">
        <v>41.8</v>
      </c>
      <c r="I139">
        <v>166</v>
      </c>
      <c r="J139">
        <v>5</v>
      </c>
      <c r="K139">
        <v>27</v>
      </c>
      <c r="L139">
        <v>50</v>
      </c>
      <c r="M139" t="s">
        <v>58</v>
      </c>
      <c r="N139" t="s">
        <v>69</v>
      </c>
      <c r="O139">
        <v>1.43</v>
      </c>
    </row>
    <row r="140" spans="1:15" x14ac:dyDescent="0.35">
      <c r="A140">
        <v>120</v>
      </c>
      <c r="B140" s="7">
        <f ca="1">TODAY()</f>
        <v>44571</v>
      </c>
      <c r="C140" t="e" vm="121">
        <v>#VALUE!</v>
      </c>
      <c r="D140" t="s">
        <v>125</v>
      </c>
      <c r="E140">
        <v>2290</v>
      </c>
      <c r="F140">
        <v>-0.61</v>
      </c>
      <c r="H140">
        <v>28.9</v>
      </c>
      <c r="I140">
        <v>351</v>
      </c>
      <c r="J140">
        <v>1</v>
      </c>
      <c r="K140">
        <v>27</v>
      </c>
      <c r="L140">
        <v>300</v>
      </c>
      <c r="M140" t="s">
        <v>58</v>
      </c>
      <c r="N140" t="s">
        <v>58</v>
      </c>
      <c r="O140">
        <v>0</v>
      </c>
    </row>
    <row r="141" spans="1:15" x14ac:dyDescent="0.35">
      <c r="A141">
        <v>35</v>
      </c>
      <c r="B141" s="7">
        <f ca="1">TODAY()</f>
        <v>44571</v>
      </c>
      <c r="C141" t="e" vm="122">
        <v>#VALUE!</v>
      </c>
      <c r="D141" t="s">
        <v>60</v>
      </c>
      <c r="E141">
        <v>2326</v>
      </c>
      <c r="F141">
        <v>35.799999999999997</v>
      </c>
      <c r="G141">
        <v>64.599999999999994</v>
      </c>
      <c r="H141">
        <v>60.4</v>
      </c>
      <c r="I141">
        <v>204</v>
      </c>
      <c r="J141">
        <v>1</v>
      </c>
      <c r="K141">
        <v>24.4</v>
      </c>
      <c r="L141">
        <v>10</v>
      </c>
      <c r="M141" t="s">
        <v>58</v>
      </c>
      <c r="N141" t="s">
        <v>58</v>
      </c>
      <c r="O141">
        <v>1.33</v>
      </c>
    </row>
    <row r="142" spans="1:15" x14ac:dyDescent="0.35">
      <c r="A142">
        <v>81</v>
      </c>
      <c r="B142" s="7">
        <f ca="1">TODAY()</f>
        <v>44571</v>
      </c>
      <c r="C142" t="e" vm="123">
        <v>#VALUE!</v>
      </c>
      <c r="D142" t="s">
        <v>63</v>
      </c>
      <c r="E142">
        <v>2359</v>
      </c>
      <c r="F142">
        <v>82.5</v>
      </c>
      <c r="G142">
        <v>30.8</v>
      </c>
      <c r="H142">
        <v>5.03</v>
      </c>
      <c r="I142">
        <v>1097</v>
      </c>
      <c r="J142">
        <v>10</v>
      </c>
      <c r="K142">
        <v>16.399999999999999</v>
      </c>
      <c r="L142">
        <v>30</v>
      </c>
      <c r="M142" t="s">
        <v>58</v>
      </c>
      <c r="N142" t="s">
        <v>58</v>
      </c>
      <c r="O142">
        <v>0.3</v>
      </c>
    </row>
    <row r="143" spans="1:15" x14ac:dyDescent="0.35">
      <c r="A143">
        <v>87</v>
      </c>
      <c r="B143" s="7">
        <f ca="1">TODAY()</f>
        <v>44571</v>
      </c>
      <c r="C143" t="e" vm="124">
        <v>#VALUE!</v>
      </c>
      <c r="D143" t="s">
        <v>173</v>
      </c>
      <c r="E143">
        <v>2368</v>
      </c>
      <c r="F143">
        <v>37.6</v>
      </c>
      <c r="G143">
        <v>63</v>
      </c>
      <c r="H143">
        <v>28.9</v>
      </c>
      <c r="I143">
        <v>187</v>
      </c>
      <c r="J143">
        <v>2</v>
      </c>
      <c r="K143">
        <v>20</v>
      </c>
      <c r="L143">
        <v>30</v>
      </c>
      <c r="M143" t="s">
        <v>58</v>
      </c>
      <c r="N143" t="s">
        <v>58</v>
      </c>
      <c r="O143">
        <v>0.25</v>
      </c>
    </row>
    <row r="144" spans="1:15" x14ac:dyDescent="0.35">
      <c r="A144">
        <v>93</v>
      </c>
      <c r="B144" s="7">
        <f ca="1">TODAY()</f>
        <v>44571</v>
      </c>
      <c r="C144" t="e" vm="125">
        <v>#VALUE!</v>
      </c>
      <c r="D144" t="s">
        <v>176</v>
      </c>
      <c r="E144">
        <v>2404</v>
      </c>
      <c r="F144">
        <v>50</v>
      </c>
      <c r="G144">
        <v>48</v>
      </c>
      <c r="H144">
        <v>28.8</v>
      </c>
      <c r="I144">
        <v>254</v>
      </c>
      <c r="J144">
        <v>10</v>
      </c>
      <c r="K144">
        <v>24.8</v>
      </c>
      <c r="L144">
        <v>50</v>
      </c>
      <c r="M144" t="s">
        <v>58</v>
      </c>
      <c r="N144" t="s">
        <v>58</v>
      </c>
      <c r="O144">
        <v>0.2</v>
      </c>
    </row>
    <row r="145" spans="1:17" x14ac:dyDescent="0.35">
      <c r="B145" s="7"/>
      <c r="D145" t="s">
        <v>339</v>
      </c>
      <c r="E145">
        <v>2416</v>
      </c>
    </row>
    <row r="146" spans="1:17" x14ac:dyDescent="0.35">
      <c r="A146">
        <v>17</v>
      </c>
      <c r="B146" s="7">
        <f ca="1">TODAY()</f>
        <v>44571</v>
      </c>
      <c r="C146" t="e" vm="126">
        <v>#VALUE!</v>
      </c>
      <c r="D146" t="s">
        <v>129</v>
      </c>
      <c r="E146">
        <v>2432</v>
      </c>
      <c r="F146">
        <v>145</v>
      </c>
      <c r="G146">
        <v>16.7</v>
      </c>
      <c r="H146">
        <v>31.1</v>
      </c>
      <c r="I146">
        <v>787</v>
      </c>
      <c r="J146">
        <v>2</v>
      </c>
      <c r="K146">
        <v>12</v>
      </c>
      <c r="L146">
        <v>-8</v>
      </c>
      <c r="M146" t="s">
        <v>69</v>
      </c>
      <c r="N146" t="s">
        <v>58</v>
      </c>
      <c r="O146">
        <v>3.7</v>
      </c>
    </row>
    <row r="147" spans="1:17" x14ac:dyDescent="0.35">
      <c r="A147">
        <v>96</v>
      </c>
      <c r="B147" s="7">
        <f ca="1">TODAY()</f>
        <v>44571</v>
      </c>
      <c r="C147" t="e" vm="127">
        <v>#VALUE!</v>
      </c>
      <c r="D147" t="s">
        <v>188</v>
      </c>
      <c r="E147">
        <v>2437</v>
      </c>
      <c r="F147">
        <v>19.7</v>
      </c>
      <c r="G147">
        <v>124</v>
      </c>
      <c r="H147">
        <v>27.7</v>
      </c>
      <c r="I147">
        <v>87.6</v>
      </c>
      <c r="J147">
        <v>1</v>
      </c>
      <c r="K147">
        <v>10</v>
      </c>
      <c r="L147">
        <v>38</v>
      </c>
      <c r="M147" t="s">
        <v>58</v>
      </c>
      <c r="N147" t="s">
        <v>58</v>
      </c>
      <c r="O147">
        <v>0.16</v>
      </c>
      <c r="Q147" t="s">
        <v>290</v>
      </c>
    </row>
    <row r="148" spans="1:17" x14ac:dyDescent="0.35">
      <c r="B148" s="7"/>
      <c r="D148" t="s">
        <v>340</v>
      </c>
      <c r="E148">
        <v>2534</v>
      </c>
    </row>
    <row r="149" spans="1:17" x14ac:dyDescent="0.35">
      <c r="A149">
        <v>44</v>
      </c>
      <c r="B149" s="7">
        <f ca="1">TODAY()</f>
        <v>44571</v>
      </c>
      <c r="C149" t="e" vm="128">
        <v>#VALUE!</v>
      </c>
      <c r="D149" t="s">
        <v>131</v>
      </c>
      <c r="E149">
        <v>2564</v>
      </c>
      <c r="F149">
        <v>115</v>
      </c>
      <c r="G149">
        <v>22.3</v>
      </c>
      <c r="H149">
        <v>24.8</v>
      </c>
      <c r="I149">
        <v>903</v>
      </c>
      <c r="J149">
        <v>2</v>
      </c>
      <c r="K149">
        <v>31</v>
      </c>
      <c r="L149">
        <v>15</v>
      </c>
      <c r="M149" t="s">
        <v>58</v>
      </c>
      <c r="N149" t="s">
        <v>58</v>
      </c>
      <c r="O149">
        <v>0.9</v>
      </c>
    </row>
    <row r="150" spans="1:17" x14ac:dyDescent="0.35">
      <c r="B150" s="7"/>
      <c r="D150" s="53" t="s">
        <v>343</v>
      </c>
      <c r="E150">
        <v>2783</v>
      </c>
    </row>
    <row r="151" spans="1:17" x14ac:dyDescent="0.35">
      <c r="A151">
        <v>95</v>
      </c>
      <c r="B151" s="7">
        <f ca="1">TODAY()</f>
        <v>44571</v>
      </c>
      <c r="C151" t="e" vm="129">
        <v>#VALUE!</v>
      </c>
      <c r="D151" t="s">
        <v>210</v>
      </c>
      <c r="E151">
        <v>2990</v>
      </c>
      <c r="F151">
        <v>52.2</v>
      </c>
      <c r="G151">
        <v>57.2</v>
      </c>
      <c r="H151">
        <v>31.4</v>
      </c>
      <c r="I151">
        <v>378</v>
      </c>
      <c r="J151">
        <v>1</v>
      </c>
      <c r="K151">
        <v>21</v>
      </c>
      <c r="L151">
        <v>30</v>
      </c>
      <c r="M151" t="s">
        <v>58</v>
      </c>
      <c r="N151" t="s">
        <v>58</v>
      </c>
      <c r="O151">
        <v>0.17</v>
      </c>
    </row>
    <row r="152" spans="1:17" x14ac:dyDescent="0.35">
      <c r="A152">
        <v>110</v>
      </c>
      <c r="B152" s="7">
        <f ca="1">TODAY()</f>
        <v>44571</v>
      </c>
      <c r="C152" s="8" t="e" vm="130">
        <v>#VALUE!</v>
      </c>
      <c r="D152" s="8" t="s">
        <v>211</v>
      </c>
      <c r="E152">
        <v>3291</v>
      </c>
      <c r="F152">
        <v>36.299999999999997</v>
      </c>
      <c r="G152">
        <v>90.8</v>
      </c>
      <c r="H152">
        <v>40.200000000000003</v>
      </c>
      <c r="I152">
        <v>485</v>
      </c>
      <c r="J152">
        <v>10</v>
      </c>
      <c r="K152">
        <v>8</v>
      </c>
      <c r="L152">
        <v>40</v>
      </c>
      <c r="M152" t="s">
        <v>58</v>
      </c>
      <c r="N152" t="s">
        <v>58</v>
      </c>
      <c r="O152">
        <v>0</v>
      </c>
    </row>
    <row r="153" spans="1:17" x14ac:dyDescent="0.35">
      <c r="A153">
        <v>80</v>
      </c>
      <c r="B153" s="7">
        <f ca="1">TODAY()</f>
        <v>44571</v>
      </c>
      <c r="C153" t="e" vm="131">
        <v>#VALUE!</v>
      </c>
      <c r="D153" t="s">
        <v>110</v>
      </c>
      <c r="E153">
        <v>3327</v>
      </c>
      <c r="F153">
        <v>60.7</v>
      </c>
      <c r="G153">
        <v>54.8</v>
      </c>
      <c r="H153">
        <v>28.9</v>
      </c>
      <c r="I153">
        <v>175</v>
      </c>
      <c r="J153">
        <v>2</v>
      </c>
      <c r="K153">
        <v>30</v>
      </c>
      <c r="L153">
        <v>94</v>
      </c>
      <c r="M153" t="s">
        <v>58</v>
      </c>
      <c r="N153" t="s">
        <v>58</v>
      </c>
      <c r="O153">
        <v>0.3</v>
      </c>
    </row>
    <row r="154" spans="1:17" x14ac:dyDescent="0.35">
      <c r="A154">
        <v>38</v>
      </c>
      <c r="B154" s="7">
        <f ca="1">TODAY()</f>
        <v>44571</v>
      </c>
      <c r="C154" t="e" vm="132">
        <v>#VALUE!</v>
      </c>
      <c r="D154" t="s">
        <v>151</v>
      </c>
      <c r="E154">
        <v>3346</v>
      </c>
      <c r="F154">
        <v>70.8</v>
      </c>
      <c r="G154">
        <v>47.4</v>
      </c>
      <c r="H154">
        <v>36</v>
      </c>
      <c r="I154">
        <v>323</v>
      </c>
      <c r="J154">
        <v>10</v>
      </c>
      <c r="K154">
        <v>18</v>
      </c>
      <c r="L154">
        <v>50</v>
      </c>
      <c r="M154" t="s">
        <v>58</v>
      </c>
      <c r="N154" t="s">
        <v>58</v>
      </c>
      <c r="O154">
        <v>1.1399999999999999</v>
      </c>
    </row>
    <row r="155" spans="1:17" x14ac:dyDescent="0.35">
      <c r="A155">
        <v>64</v>
      </c>
      <c r="B155" s="7">
        <f ca="1">TODAY()</f>
        <v>44571</v>
      </c>
      <c r="C155" t="e" vm="133">
        <v>#VALUE!</v>
      </c>
      <c r="D155" t="s">
        <v>113</v>
      </c>
      <c r="E155">
        <v>3366</v>
      </c>
      <c r="F155">
        <v>33.9</v>
      </c>
      <c r="G155">
        <v>99.1</v>
      </c>
      <c r="H155">
        <v>83</v>
      </c>
      <c r="I155">
        <v>130</v>
      </c>
      <c r="J155">
        <v>1</v>
      </c>
      <c r="K155">
        <v>19</v>
      </c>
      <c r="L155">
        <v>30</v>
      </c>
      <c r="M155" t="s">
        <v>58</v>
      </c>
      <c r="N155" t="s">
        <v>58</v>
      </c>
      <c r="O155">
        <v>0.53</v>
      </c>
    </row>
    <row r="156" spans="1:17" x14ac:dyDescent="0.35">
      <c r="A156">
        <v>41</v>
      </c>
      <c r="B156" s="7">
        <f ca="1">TODAY()</f>
        <v>44571</v>
      </c>
      <c r="C156" t="e" vm="134">
        <v>#VALUE!</v>
      </c>
      <c r="D156" t="s">
        <v>180</v>
      </c>
      <c r="E156">
        <v>3734</v>
      </c>
      <c r="F156">
        <v>98.6</v>
      </c>
      <c r="G156">
        <v>37.799999999999997</v>
      </c>
      <c r="H156">
        <v>41.8</v>
      </c>
      <c r="I156">
        <v>262</v>
      </c>
      <c r="J156">
        <v>1</v>
      </c>
      <c r="K156">
        <v>28</v>
      </c>
      <c r="L156">
        <v>26</v>
      </c>
      <c r="M156" t="s">
        <v>58</v>
      </c>
      <c r="N156" t="s">
        <v>58</v>
      </c>
      <c r="O156">
        <v>1.02</v>
      </c>
    </row>
    <row r="157" spans="1:17" x14ac:dyDescent="0.35">
      <c r="A157">
        <v>85</v>
      </c>
      <c r="B157" s="7">
        <f ca="1">TODAY()</f>
        <v>44571</v>
      </c>
      <c r="C157" t="e" vm="135">
        <v>#VALUE!</v>
      </c>
      <c r="D157" t="s">
        <v>153</v>
      </c>
      <c r="E157">
        <v>4160</v>
      </c>
      <c r="F157">
        <v>5.1100000000000003</v>
      </c>
      <c r="G157">
        <v>84.9</v>
      </c>
      <c r="H157">
        <v>84.9</v>
      </c>
      <c r="I157">
        <v>348</v>
      </c>
      <c r="J157">
        <v>2</v>
      </c>
      <c r="K157">
        <v>24.8</v>
      </c>
      <c r="L157">
        <v>50</v>
      </c>
      <c r="M157" t="s">
        <v>58</v>
      </c>
      <c r="N157" t="s">
        <v>69</v>
      </c>
      <c r="O157">
        <v>0.26</v>
      </c>
    </row>
    <row r="158" spans="1:17" x14ac:dyDescent="0.35">
      <c r="A158">
        <v>119</v>
      </c>
      <c r="B158" s="7">
        <f ca="1">TODAY()</f>
        <v>44571</v>
      </c>
      <c r="C158" t="e" vm="136">
        <v>#VALUE!</v>
      </c>
      <c r="D158" t="s">
        <v>64</v>
      </c>
      <c r="E158">
        <v>4639</v>
      </c>
      <c r="F158">
        <v>21.2</v>
      </c>
      <c r="G158">
        <v>219</v>
      </c>
      <c r="H158">
        <v>234</v>
      </c>
      <c r="I158">
        <v>196</v>
      </c>
      <c r="J158">
        <v>10</v>
      </c>
      <c r="K158">
        <v>7.86</v>
      </c>
      <c r="L158">
        <v>40</v>
      </c>
      <c r="M158" t="s">
        <v>58</v>
      </c>
      <c r="N158" t="s">
        <v>58</v>
      </c>
      <c r="O158">
        <v>0</v>
      </c>
    </row>
    <row r="159" spans="1:17" x14ac:dyDescent="0.35">
      <c r="A159">
        <v>71</v>
      </c>
      <c r="B159" s="7">
        <f ca="1">TODAY()</f>
        <v>44571</v>
      </c>
      <c r="C159" t="e" vm="137">
        <v>#VALUE!</v>
      </c>
      <c r="D159" t="s">
        <v>158</v>
      </c>
      <c r="E159">
        <v>4811</v>
      </c>
      <c r="F159">
        <v>74.8</v>
      </c>
      <c r="G159">
        <v>64.3</v>
      </c>
      <c r="H159">
        <v>36</v>
      </c>
      <c r="I159">
        <v>405</v>
      </c>
      <c r="J159">
        <v>10</v>
      </c>
      <c r="K159">
        <v>17</v>
      </c>
      <c r="L159">
        <v>51</v>
      </c>
      <c r="M159" t="s">
        <v>58</v>
      </c>
      <c r="N159" t="s">
        <v>58</v>
      </c>
      <c r="O159">
        <v>0.42</v>
      </c>
    </row>
    <row r="160" spans="1:17" x14ac:dyDescent="0.35">
      <c r="A160">
        <v>67</v>
      </c>
      <c r="B160" s="7">
        <f ca="1">TODAY()</f>
        <v>44571</v>
      </c>
      <c r="C160" t="e" vm="138">
        <v>#VALUE!</v>
      </c>
      <c r="D160" t="s">
        <v>88</v>
      </c>
      <c r="E160">
        <v>4905</v>
      </c>
      <c r="F160">
        <v>118</v>
      </c>
      <c r="G160">
        <v>41.6</v>
      </c>
      <c r="H160">
        <v>29.3</v>
      </c>
      <c r="I160">
        <v>1114</v>
      </c>
      <c r="J160">
        <v>5</v>
      </c>
      <c r="K160">
        <v>18</v>
      </c>
      <c r="L160">
        <v>20</v>
      </c>
      <c r="M160" t="s">
        <v>58</v>
      </c>
      <c r="N160" t="s">
        <v>58</v>
      </c>
      <c r="O160">
        <v>0.51</v>
      </c>
    </row>
    <row r="161" spans="1:17" x14ac:dyDescent="0.35">
      <c r="A161">
        <v>60</v>
      </c>
      <c r="B161" s="7">
        <f ca="1">TODAY()</f>
        <v>44571</v>
      </c>
      <c r="C161" t="e" vm="139">
        <v>#VALUE!</v>
      </c>
      <c r="D161" t="s">
        <v>159</v>
      </c>
      <c r="E161">
        <v>5029</v>
      </c>
      <c r="F161">
        <v>128</v>
      </c>
      <c r="G161">
        <v>39.4</v>
      </c>
      <c r="H161">
        <v>60.9</v>
      </c>
      <c r="I161">
        <v>564</v>
      </c>
      <c r="J161">
        <v>10</v>
      </c>
      <c r="K161">
        <v>31</v>
      </c>
      <c r="L161">
        <v>22</v>
      </c>
      <c r="M161" t="s">
        <v>58</v>
      </c>
      <c r="N161" t="s">
        <v>58</v>
      </c>
      <c r="O161">
        <v>0.6</v>
      </c>
      <c r="P161" t="s">
        <v>287</v>
      </c>
      <c r="Q161" t="s">
        <v>9</v>
      </c>
    </row>
    <row r="162" spans="1:17" x14ac:dyDescent="0.35">
      <c r="A162">
        <v>74</v>
      </c>
      <c r="B162" s="7">
        <f ca="1">TODAY()</f>
        <v>44571</v>
      </c>
      <c r="C162" t="e" vm="140">
        <v>#VALUE!</v>
      </c>
      <c r="D162" t="s">
        <v>85</v>
      </c>
      <c r="E162">
        <v>5814</v>
      </c>
      <c r="F162">
        <v>73.7</v>
      </c>
      <c r="G162">
        <v>78.900000000000006</v>
      </c>
      <c r="H162">
        <v>36</v>
      </c>
      <c r="I162">
        <v>207</v>
      </c>
      <c r="J162">
        <v>10</v>
      </c>
      <c r="K162">
        <v>30</v>
      </c>
      <c r="L162">
        <v>50</v>
      </c>
      <c r="M162" t="s">
        <v>58</v>
      </c>
      <c r="N162" t="s">
        <v>58</v>
      </c>
      <c r="O162">
        <v>0.41</v>
      </c>
    </row>
    <row r="163" spans="1:17" x14ac:dyDescent="0.35">
      <c r="A163">
        <v>97</v>
      </c>
      <c r="B163" s="7">
        <f ca="1">TODAY()</f>
        <v>44571</v>
      </c>
      <c r="C163" t="e" vm="141">
        <v>#VALUE!</v>
      </c>
      <c r="D163" t="s">
        <v>201</v>
      </c>
      <c r="E163">
        <v>6871</v>
      </c>
      <c r="F163">
        <v>82.5</v>
      </c>
      <c r="G163">
        <v>83.3</v>
      </c>
      <c r="H163">
        <v>25.7</v>
      </c>
      <c r="I163">
        <v>646</v>
      </c>
      <c r="J163">
        <v>2</v>
      </c>
      <c r="K163">
        <v>58</v>
      </c>
      <c r="L163">
        <v>40</v>
      </c>
      <c r="M163" t="s">
        <v>58</v>
      </c>
      <c r="N163" t="s">
        <v>58</v>
      </c>
      <c r="O163">
        <v>0.15</v>
      </c>
    </row>
    <row r="164" spans="1:17" x14ac:dyDescent="0.35">
      <c r="A164">
        <v>109</v>
      </c>
      <c r="B164" s="7">
        <f ca="1">TODAY()</f>
        <v>44571</v>
      </c>
      <c r="C164" t="e" vm="142">
        <v>#VALUE!</v>
      </c>
      <c r="D164" t="s">
        <v>75</v>
      </c>
      <c r="E164">
        <v>16168</v>
      </c>
      <c r="F164">
        <v>265</v>
      </c>
      <c r="G164">
        <v>60.9</v>
      </c>
      <c r="H164">
        <v>25.7</v>
      </c>
      <c r="I164">
        <v>2381</v>
      </c>
      <c r="J164">
        <v>5</v>
      </c>
      <c r="K164">
        <v>30</v>
      </c>
      <c r="L164">
        <v>40</v>
      </c>
      <c r="M164" t="s">
        <v>58</v>
      </c>
      <c r="N164" t="s">
        <v>58</v>
      </c>
      <c r="O164">
        <v>0.02</v>
      </c>
    </row>
    <row r="165" spans="1:17" x14ac:dyDescent="0.35">
      <c r="D165" t="s">
        <v>220</v>
      </c>
    </row>
  </sheetData>
  <autoFilter ref="A1:T165" xr:uid="{5151C4EC-BC4E-4D37-AE64-3FC2DDE79BC7}">
    <sortState xmlns:xlrd2="http://schemas.microsoft.com/office/spreadsheetml/2017/richdata2" ref="A2:T165">
      <sortCondition ref="E1:E165"/>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Strong stocks - long term</vt:lpstr>
      <vt:lpstr>PENNY STOCKS</vt:lpstr>
      <vt:lpstr>Investment Plan</vt:lpstr>
      <vt:lpstr>52 Weeks Low</vt:lpstr>
      <vt:lpstr>FMCG-FOCUS</vt:lpstr>
      <vt:lpstr>BANKING &amp; FINANCE - FOCUS</vt:lpstr>
      <vt:lpstr>RENEWABLE ENERGY - FOCUS</vt:lpstr>
      <vt:lpstr>EV - FOCUS</vt:lpstr>
      <vt:lpstr>HEALTH &amp; INSURANCE - FOCUS</vt:lpstr>
      <vt:lpstr>FOCUSED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Natarajan</dc:creator>
  <cp:lastModifiedBy>Raja Natarajan</cp:lastModifiedBy>
  <dcterms:created xsi:type="dcterms:W3CDTF">2021-12-27T18:07:51Z</dcterms:created>
  <dcterms:modified xsi:type="dcterms:W3CDTF">2022-01-11T02:38:15Z</dcterms:modified>
</cp:coreProperties>
</file>