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Raja\Personal\Trade\Equity\"/>
    </mc:Choice>
  </mc:AlternateContent>
  <xr:revisionPtr revIDLastSave="0" documentId="13_ncr:1_{22EDC3FF-8441-4894-BF5D-C17B74E7B3BB}" xr6:coauthVersionLast="47" xr6:coauthVersionMax="47" xr10:uidLastSave="{00000000-0000-0000-0000-000000000000}"/>
  <bookViews>
    <workbookView xWindow="-110" yWindow="-110" windowWidth="19420" windowHeight="10420" tabRatio="995" firstSheet="1" activeTab="7" xr2:uid="{D2B19668-EEBA-40A2-8080-568A6FC77274}"/>
  </bookViews>
  <sheets>
    <sheet name="Strong stocks - long term" sheetId="2" r:id="rId1"/>
    <sheet name="FMCG-FOCUS" sheetId="4" r:id="rId2"/>
    <sheet name="BANKING &amp; FINANCE - FOCUS" sheetId="5" r:id="rId3"/>
    <sheet name="RENEWABLE ENERGY - FOCUS" sheetId="6" r:id="rId4"/>
    <sheet name="EV - FOCUS" sheetId="7" r:id="rId5"/>
    <sheet name="HEALTH &amp; INSURANCE - FOCUS" sheetId="8" r:id="rId6"/>
    <sheet name="FOCUSED" sheetId="9" r:id="rId7"/>
    <sheet name="Master-20-MAR" sheetId="11" r:id="rId8"/>
  </sheets>
  <definedNames>
    <definedName name="_xlnm._FilterDatabase" localSheetId="6" hidden="1">FOCUSED!$A$1:$N$158</definedName>
    <definedName name="_xlnm._FilterDatabase" localSheetId="7" hidden="1">'Master-20-MAR'!$A$1:$N$120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8" i="11" l="1" a="1"/>
  <c r="C98" i="11" s="1"/>
  <c r="D98" i="11" a="1"/>
  <c r="D98" i="11" s="1"/>
  <c r="E98" i="11" a="1"/>
  <c r="E98" i="11" s="1"/>
  <c r="K98" i="11" a="1"/>
  <c r="K98" i="11" s="1"/>
  <c r="C99" i="11" a="1"/>
  <c r="C99" i="11" s="1"/>
  <c r="D99" i="11" a="1"/>
  <c r="D99" i="11" s="1"/>
  <c r="E99" i="11" a="1"/>
  <c r="E99" i="11" s="1"/>
  <c r="K99" i="11" a="1"/>
  <c r="K99" i="11" s="1"/>
  <c r="C100" i="11" a="1"/>
  <c r="C100" i="11" s="1"/>
  <c r="D100" i="11" a="1"/>
  <c r="D100" i="11" s="1"/>
  <c r="E100" i="11" a="1"/>
  <c r="E100" i="11" s="1"/>
  <c r="K100" i="11" a="1"/>
  <c r="K100" i="11" s="1"/>
  <c r="C101" i="11" a="1"/>
  <c r="C101" i="11" s="1"/>
  <c r="D101" i="11" a="1"/>
  <c r="D101" i="11" s="1"/>
  <c r="E101" i="11" a="1"/>
  <c r="E101" i="11" s="1"/>
  <c r="K101" i="11" a="1"/>
  <c r="K101" i="11" s="1"/>
  <c r="C102" i="11" a="1"/>
  <c r="C102" i="11" s="1"/>
  <c r="D102" i="11" a="1"/>
  <c r="D102" i="11" s="1"/>
  <c r="E102" i="11" a="1"/>
  <c r="E102" i="11" s="1"/>
  <c r="K102" i="11" a="1"/>
  <c r="K102" i="11" s="1"/>
  <c r="C103" i="11" a="1"/>
  <c r="C103" i="11" s="1"/>
  <c r="D103" i="11" a="1"/>
  <c r="D103" i="11" s="1"/>
  <c r="E103" i="11" a="1"/>
  <c r="E103" i="11" s="1"/>
  <c r="K103" i="11" a="1"/>
  <c r="K103" i="11" s="1"/>
  <c r="C104" i="11" a="1"/>
  <c r="C104" i="11" s="1"/>
  <c r="D104" i="11" a="1"/>
  <c r="D104" i="11" s="1"/>
  <c r="E104" i="11" a="1"/>
  <c r="E104" i="11" s="1"/>
  <c r="K104" i="11" a="1"/>
  <c r="K104" i="11" s="1"/>
  <c r="C105" i="11" a="1"/>
  <c r="C105" i="11" s="1"/>
  <c r="D105" i="11" a="1"/>
  <c r="D105" i="11" s="1"/>
  <c r="E105" i="11" a="1"/>
  <c r="E105" i="11" s="1"/>
  <c r="K105" i="11" a="1"/>
  <c r="K105" i="11" s="1"/>
  <c r="C106" i="11" a="1"/>
  <c r="C106" i="11" s="1"/>
  <c r="D106" i="11" a="1"/>
  <c r="D106" i="11" s="1"/>
  <c r="E106" i="11" a="1"/>
  <c r="E106" i="11" s="1"/>
  <c r="K106" i="11" a="1"/>
  <c r="K106" i="11" s="1"/>
  <c r="C107" i="11" a="1"/>
  <c r="C107" i="11" s="1"/>
  <c r="D107" i="11" a="1"/>
  <c r="D107" i="11" s="1"/>
  <c r="E107" i="11" a="1"/>
  <c r="E107" i="11" s="1"/>
  <c r="K107" i="11" a="1"/>
  <c r="K107" i="11" s="1"/>
  <c r="C108" i="11" a="1"/>
  <c r="C108" i="11" s="1"/>
  <c r="D108" i="11" a="1"/>
  <c r="D108" i="11" s="1"/>
  <c r="E108" i="11" a="1"/>
  <c r="E108" i="11" s="1"/>
  <c r="K108" i="11" a="1"/>
  <c r="K108" i="11" s="1"/>
  <c r="C109" i="11" a="1"/>
  <c r="C109" i="11" s="1"/>
  <c r="D109" i="11" a="1"/>
  <c r="D109" i="11" s="1"/>
  <c r="E109" i="11" a="1"/>
  <c r="E109" i="11" s="1"/>
  <c r="K109" i="11" a="1"/>
  <c r="K109" i="11" s="1"/>
  <c r="C110" i="11" a="1"/>
  <c r="C110" i="11" s="1"/>
  <c r="D110" i="11" a="1"/>
  <c r="D110" i="11" s="1"/>
  <c r="E110" i="11" a="1"/>
  <c r="E110" i="11" s="1"/>
  <c r="K110" i="11" a="1"/>
  <c r="K110" i="11" s="1"/>
  <c r="C111" i="11" a="1"/>
  <c r="C111" i="11" s="1"/>
  <c r="D111" i="11" a="1"/>
  <c r="D111" i="11" s="1"/>
  <c r="E111" i="11" a="1"/>
  <c r="E111" i="11" s="1"/>
  <c r="K111" i="11" a="1"/>
  <c r="K111" i="11" s="1"/>
  <c r="C112" i="11" a="1"/>
  <c r="C112" i="11" s="1"/>
  <c r="D112" i="11" a="1"/>
  <c r="D112" i="11" s="1"/>
  <c r="E112" i="11" a="1"/>
  <c r="E112" i="11" s="1"/>
  <c r="K112" i="11" a="1"/>
  <c r="K112" i="11" s="1"/>
  <c r="C113" i="11" a="1"/>
  <c r="C113" i="11" s="1"/>
  <c r="D113" i="11" a="1"/>
  <c r="D113" i="11" s="1"/>
  <c r="E113" i="11" a="1"/>
  <c r="E113" i="11" s="1"/>
  <c r="K113" i="11" a="1"/>
  <c r="K113" i="11" s="1"/>
  <c r="C114" i="11" a="1"/>
  <c r="C114" i="11" s="1"/>
  <c r="D114" i="11" a="1"/>
  <c r="D114" i="11" s="1"/>
  <c r="E114" i="11" a="1"/>
  <c r="E114" i="11" s="1"/>
  <c r="K114" i="11" a="1"/>
  <c r="K114" i="11" s="1"/>
  <c r="K35" i="11" a="1"/>
  <c r="K35" i="11" s="1"/>
  <c r="C35" i="11" a="1"/>
  <c r="C35" i="11" s="1"/>
  <c r="D35" i="11" a="1"/>
  <c r="D35" i="11" s="1"/>
  <c r="E35" i="11" a="1"/>
  <c r="E35" i="11" s="1"/>
  <c r="K83" i="11" a="1"/>
  <c r="K83" i="11" s="1"/>
  <c r="C83" i="11" a="1"/>
  <c r="C83" i="11" s="1"/>
  <c r="D83" i="11" a="1"/>
  <c r="D83" i="11" s="1"/>
  <c r="E83" i="11" a="1"/>
  <c r="E83" i="11" s="1"/>
  <c r="K71" i="11" a="1"/>
  <c r="K71" i="11" s="1"/>
  <c r="C71" i="11" a="1"/>
  <c r="C71" i="11" s="1"/>
  <c r="D71" i="11" a="1"/>
  <c r="D71" i="11" s="1"/>
  <c r="E71" i="11" a="1"/>
  <c r="E71" i="11" s="1"/>
  <c r="K75" i="11" a="1"/>
  <c r="K75" i="11" s="1"/>
  <c r="C75" i="11" a="1"/>
  <c r="C75" i="11" s="1"/>
  <c r="D75" i="11" a="1"/>
  <c r="D75" i="11" s="1"/>
  <c r="E75" i="11" a="1"/>
  <c r="E75" i="11" s="1"/>
  <c r="K53" i="11" a="1"/>
  <c r="K53" i="11" s="1"/>
  <c r="C53" i="11" a="1"/>
  <c r="C53" i="11" s="1"/>
  <c r="D53" i="11" a="1"/>
  <c r="D53" i="11" s="1"/>
  <c r="E53" i="11" a="1"/>
  <c r="E53" i="11" s="1"/>
  <c r="K21" i="11" a="1"/>
  <c r="K21" i="11" s="1"/>
  <c r="C21" i="11" a="1"/>
  <c r="C21" i="11" s="1"/>
  <c r="D21" i="11" a="1"/>
  <c r="D21" i="11" s="1"/>
  <c r="E21" i="11" a="1"/>
  <c r="E21" i="11" s="1"/>
  <c r="K49" i="11" a="1"/>
  <c r="K49" i="11" s="1"/>
  <c r="C49" i="11" a="1"/>
  <c r="C49" i="11" s="1"/>
  <c r="D49" i="11" a="1"/>
  <c r="D49" i="11" s="1"/>
  <c r="E49" i="11" a="1"/>
  <c r="E49" i="11" s="1"/>
  <c r="K12" i="11" a="1"/>
  <c r="K12" i="11" s="1"/>
  <c r="C12" i="11" a="1"/>
  <c r="C12" i="11" s="1"/>
  <c r="D12" i="11" a="1"/>
  <c r="D12" i="11" s="1"/>
  <c r="E12" i="11" a="1"/>
  <c r="E12" i="11" s="1"/>
  <c r="K70" i="11" a="1"/>
  <c r="K70" i="11" s="1"/>
  <c r="C70" i="11" a="1"/>
  <c r="C70" i="11" s="1"/>
  <c r="D70" i="11" a="1"/>
  <c r="D70" i="11" s="1"/>
  <c r="E70" i="11" a="1"/>
  <c r="E70" i="11" s="1"/>
  <c r="K34" i="11" a="1"/>
  <c r="K34" i="11" s="1"/>
  <c r="C34" i="11" a="1"/>
  <c r="C34" i="11" s="1"/>
  <c r="D34" i="11" a="1"/>
  <c r="D34" i="11" s="1"/>
  <c r="E34" i="11" a="1"/>
  <c r="E34" i="11" s="1"/>
  <c r="K81" i="11" a="1"/>
  <c r="K81" i="11" s="1"/>
  <c r="C81" i="11" a="1"/>
  <c r="C81" i="11" s="1"/>
  <c r="D81" i="11" a="1"/>
  <c r="D81" i="11" s="1"/>
  <c r="E81" i="11" a="1"/>
  <c r="E81" i="11" s="1"/>
  <c r="K5" i="11" a="1"/>
  <c r="K5" i="11" s="1"/>
  <c r="C5" i="11" a="1"/>
  <c r="C5" i="11" s="1"/>
  <c r="D5" i="11" a="1"/>
  <c r="D5" i="11" s="1"/>
  <c r="E5" i="11" a="1"/>
  <c r="E5" i="11" s="1"/>
  <c r="K13" i="11" a="1"/>
  <c r="K13" i="11" s="1"/>
  <c r="C13" i="11" a="1"/>
  <c r="C13" i="11" s="1"/>
  <c r="D13" i="11" a="1"/>
  <c r="D13" i="11" s="1"/>
  <c r="E13" i="11" a="1"/>
  <c r="E13" i="11" s="1"/>
  <c r="K18" i="11" a="1"/>
  <c r="K18" i="11" s="1"/>
  <c r="C18" i="11" a="1"/>
  <c r="C18" i="11" s="1"/>
  <c r="D18" i="11" a="1"/>
  <c r="D18" i="11" s="1"/>
  <c r="E18" i="11" a="1"/>
  <c r="E18" i="11" s="1"/>
  <c r="K68" i="11" a="1"/>
  <c r="K68" i="11" s="1"/>
  <c r="C68" i="11" a="1"/>
  <c r="C68" i="11" s="1"/>
  <c r="D68" i="11" a="1"/>
  <c r="D68" i="11" s="1"/>
  <c r="E68" i="11" a="1"/>
  <c r="E68" i="11" s="1"/>
  <c r="K27" i="11" a="1"/>
  <c r="K27" i="11" s="1"/>
  <c r="C27" i="11" a="1"/>
  <c r="C27" i="11" s="1"/>
  <c r="D27" i="11" a="1"/>
  <c r="D27" i="11" s="1"/>
  <c r="E27" i="11" a="1"/>
  <c r="E27" i="11" s="1"/>
  <c r="K59" i="11" a="1"/>
  <c r="K59" i="11" s="1"/>
  <c r="C59" i="11" a="1"/>
  <c r="C59" i="11" s="1"/>
  <c r="D59" i="11" a="1"/>
  <c r="D59" i="11" s="1"/>
  <c r="E59" i="11" a="1"/>
  <c r="E59" i="11" s="1"/>
  <c r="K82" i="11" a="1"/>
  <c r="K82" i="11" s="1"/>
  <c r="C82" i="11" a="1"/>
  <c r="C82" i="11" s="1"/>
  <c r="D82" i="11" a="1"/>
  <c r="D82" i="11" s="1"/>
  <c r="E82" i="11" a="1"/>
  <c r="E82" i="11" s="1"/>
  <c r="K78" i="11" a="1"/>
  <c r="K78" i="11" s="1"/>
  <c r="C78" i="11" a="1"/>
  <c r="C78" i="11" s="1"/>
  <c r="D78" i="11" a="1"/>
  <c r="D78" i="11" s="1"/>
  <c r="E78" i="11" a="1"/>
  <c r="E78" i="11" s="1"/>
  <c r="K63" i="11" a="1"/>
  <c r="K63" i="11" s="1"/>
  <c r="C63" i="11" a="1"/>
  <c r="C63" i="11" s="1"/>
  <c r="D63" i="11" a="1"/>
  <c r="D63" i="11" s="1"/>
  <c r="E63" i="11" a="1"/>
  <c r="E63" i="11" s="1"/>
  <c r="K23" i="11" a="1"/>
  <c r="K23" i="11" s="1"/>
  <c r="C23" i="11" a="1"/>
  <c r="C23" i="11" s="1"/>
  <c r="D23" i="11" a="1"/>
  <c r="D23" i="11" s="1"/>
  <c r="E23" i="11" a="1"/>
  <c r="E23" i="11" s="1"/>
  <c r="K22" i="11" a="1"/>
  <c r="K22" i="11" s="1"/>
  <c r="C22" i="11" a="1"/>
  <c r="C22" i="11" s="1"/>
  <c r="D22" i="11" a="1"/>
  <c r="D22" i="11" s="1"/>
  <c r="E22" i="11" a="1"/>
  <c r="E22" i="11" s="1"/>
  <c r="K40" i="11" a="1"/>
  <c r="K40" i="11" s="1"/>
  <c r="C40" i="11" a="1"/>
  <c r="C40" i="11" s="1"/>
  <c r="D40" i="11" a="1"/>
  <c r="D40" i="11" s="1"/>
  <c r="E40" i="11" a="1"/>
  <c r="E40" i="11" s="1"/>
  <c r="K6" i="11" a="1"/>
  <c r="K6" i="11" s="1"/>
  <c r="C6" i="11" a="1"/>
  <c r="C6" i="11" s="1"/>
  <c r="D6" i="11" a="1"/>
  <c r="D6" i="11" s="1"/>
  <c r="E6" i="11" a="1"/>
  <c r="E6" i="11" s="1"/>
  <c r="K15" i="11" a="1"/>
  <c r="K15" i="11" s="1"/>
  <c r="C15" i="11" a="1"/>
  <c r="C15" i="11" s="1"/>
  <c r="D15" i="11" a="1"/>
  <c r="D15" i="11" s="1"/>
  <c r="E15" i="11" a="1"/>
  <c r="E15" i="11" s="1"/>
  <c r="K72" i="11" a="1"/>
  <c r="K72" i="11" s="1"/>
  <c r="C72" i="11" a="1"/>
  <c r="C72" i="11" s="1"/>
  <c r="D72" i="11" a="1"/>
  <c r="D72" i="11" s="1"/>
  <c r="E72" i="11" a="1"/>
  <c r="E72" i="11" s="1"/>
  <c r="K88" i="11" a="1"/>
  <c r="K88" i="11" s="1"/>
  <c r="C88" i="11" a="1"/>
  <c r="C88" i="11" s="1"/>
  <c r="D88" i="11" a="1"/>
  <c r="D88" i="11" s="1"/>
  <c r="E88" i="11" a="1"/>
  <c r="E88" i="11" s="1"/>
  <c r="K54" i="11" a="1"/>
  <c r="K54" i="11" s="1"/>
  <c r="C54" i="11" a="1"/>
  <c r="C54" i="11" s="1"/>
  <c r="D54" i="11" a="1"/>
  <c r="D54" i="11" s="1"/>
  <c r="E54" i="11" a="1"/>
  <c r="E54" i="11" s="1"/>
  <c r="K50" i="11" a="1"/>
  <c r="K50" i="11" s="1"/>
  <c r="C50" i="11" a="1"/>
  <c r="C50" i="11" s="1"/>
  <c r="D50" i="11" a="1"/>
  <c r="D50" i="11" s="1"/>
  <c r="E50" i="11" a="1"/>
  <c r="E50" i="11" s="1"/>
  <c r="K16" i="11" a="1"/>
  <c r="K16" i="11" s="1"/>
  <c r="C16" i="11" a="1"/>
  <c r="C16" i="11" s="1"/>
  <c r="D16" i="11" a="1"/>
  <c r="D16" i="11" s="1"/>
  <c r="E16" i="11" a="1"/>
  <c r="E16" i="11" s="1"/>
  <c r="K80" i="11" a="1"/>
  <c r="K80" i="11" s="1"/>
  <c r="C80" i="11" a="1"/>
  <c r="C80" i="11" s="1"/>
  <c r="D80" i="11" a="1"/>
  <c r="D80" i="11" s="1"/>
  <c r="E80" i="11" a="1"/>
  <c r="E80" i="11" s="1"/>
  <c r="K43" i="11" a="1"/>
  <c r="K43" i="11" s="1"/>
  <c r="C43" i="11" a="1"/>
  <c r="C43" i="11" s="1"/>
  <c r="D43" i="11" a="1"/>
  <c r="D43" i="11" s="1"/>
  <c r="E43" i="11" a="1"/>
  <c r="E43" i="11" s="1"/>
  <c r="K38" i="11" a="1"/>
  <c r="K38" i="11" s="1"/>
  <c r="C38" i="11" a="1"/>
  <c r="C38" i="11" s="1"/>
  <c r="D38" i="11" a="1"/>
  <c r="D38" i="11" s="1"/>
  <c r="E38" i="11" a="1"/>
  <c r="E38" i="11" s="1"/>
  <c r="K28" i="11" a="1"/>
  <c r="K28" i="11" s="1"/>
  <c r="C28" i="11" a="1"/>
  <c r="C28" i="11" s="1"/>
  <c r="D28" i="11" a="1"/>
  <c r="D28" i="11" s="1"/>
  <c r="E28" i="11" a="1"/>
  <c r="E28" i="11" s="1"/>
  <c r="K77" i="11" a="1"/>
  <c r="K77" i="11" s="1"/>
  <c r="C77" i="11" a="1"/>
  <c r="C77" i="11" s="1"/>
  <c r="D77" i="11" a="1"/>
  <c r="D77" i="11" s="1"/>
  <c r="E77" i="11" a="1"/>
  <c r="E77" i="11" s="1"/>
  <c r="K10" i="11" a="1"/>
  <c r="K10" i="11" s="1"/>
  <c r="C10" i="11" a="1"/>
  <c r="C10" i="11" s="1"/>
  <c r="D10" i="11" a="1"/>
  <c r="D10" i="11" s="1"/>
  <c r="E10" i="11" a="1"/>
  <c r="E10" i="11" s="1"/>
  <c r="K19" i="11" a="1"/>
  <c r="K19" i="11" s="1"/>
  <c r="N19" i="11" s="1"/>
  <c r="C19" i="11" a="1"/>
  <c r="C19" i="11" s="1"/>
  <c r="D19" i="11" a="1"/>
  <c r="D19" i="11" s="1"/>
  <c r="E19" i="11" a="1"/>
  <c r="E19" i="11" s="1"/>
  <c r="K76" i="11" a="1"/>
  <c r="K76" i="11" s="1"/>
  <c r="C76" i="11" a="1"/>
  <c r="C76" i="11" s="1"/>
  <c r="D76" i="11" a="1"/>
  <c r="D76" i="11" s="1"/>
  <c r="E76" i="11" a="1"/>
  <c r="E76" i="11" s="1"/>
  <c r="K67" i="11" a="1"/>
  <c r="K67" i="11" s="1"/>
  <c r="C67" i="11" a="1"/>
  <c r="C67" i="11" s="1"/>
  <c r="D67" i="11" a="1"/>
  <c r="D67" i="11" s="1"/>
  <c r="E67" i="11" a="1"/>
  <c r="E67" i="11" s="1"/>
  <c r="K39" i="11" a="1"/>
  <c r="K39" i="11" s="1"/>
  <c r="C39" i="11" a="1"/>
  <c r="C39" i="11" s="1"/>
  <c r="D39" i="11" a="1"/>
  <c r="D39" i="11" s="1"/>
  <c r="E39" i="11" a="1"/>
  <c r="E39" i="11" s="1"/>
  <c r="K85" i="11" a="1"/>
  <c r="K85" i="11" s="1"/>
  <c r="N85" i="11" s="1"/>
  <c r="D85" i="11" a="1"/>
  <c r="D85" i="11" s="1"/>
  <c r="E85" i="11" a="1"/>
  <c r="E85" i="11" s="1"/>
  <c r="K36" i="11" a="1"/>
  <c r="K36" i="11" s="1"/>
  <c r="N36" i="11" s="1"/>
  <c r="C36" i="11" a="1"/>
  <c r="C36" i="11" s="1"/>
  <c r="D36" i="11" a="1"/>
  <c r="D36" i="11" s="1"/>
  <c r="E36" i="11" a="1"/>
  <c r="E36" i="11" s="1"/>
  <c r="K89" i="11" a="1"/>
  <c r="K89" i="11" s="1"/>
  <c r="C89" i="11" a="1"/>
  <c r="C89" i="11" s="1"/>
  <c r="D89" i="11" a="1"/>
  <c r="D89" i="11" s="1"/>
  <c r="E89" i="11" a="1"/>
  <c r="E89" i="11" s="1"/>
  <c r="K90" i="11" a="1"/>
  <c r="K90" i="11" s="1"/>
  <c r="C90" i="11" a="1"/>
  <c r="C90" i="11" s="1"/>
  <c r="D90" i="11" a="1"/>
  <c r="D90" i="11" s="1"/>
  <c r="E90" i="11" a="1"/>
  <c r="E90" i="11" s="1"/>
  <c r="K91" i="11" a="1"/>
  <c r="K91" i="11" s="1"/>
  <c r="C91" i="11" a="1"/>
  <c r="C91" i="11" s="1"/>
  <c r="D91" i="11" a="1"/>
  <c r="D91" i="11" s="1"/>
  <c r="E91" i="11" a="1"/>
  <c r="E91" i="11" s="1"/>
  <c r="K92" i="11" a="1"/>
  <c r="K92" i="11" s="1"/>
  <c r="C92" i="11" a="1"/>
  <c r="C92" i="11" s="1"/>
  <c r="D92" i="11" a="1"/>
  <c r="D92" i="11" s="1"/>
  <c r="E92" i="11" a="1"/>
  <c r="E92" i="11" s="1"/>
  <c r="K93" i="11" a="1"/>
  <c r="K93" i="11" s="1"/>
  <c r="C93" i="11" a="1"/>
  <c r="C93" i="11" s="1"/>
  <c r="D93" i="11" a="1"/>
  <c r="D93" i="11" s="1"/>
  <c r="E93" i="11" a="1"/>
  <c r="E93" i="11" s="1"/>
  <c r="K94" i="11" a="1"/>
  <c r="K94" i="11" s="1"/>
  <c r="C94" i="11" a="1"/>
  <c r="C94" i="11" s="1"/>
  <c r="D94" i="11" a="1"/>
  <c r="D94" i="11" s="1"/>
  <c r="E94" i="11" a="1"/>
  <c r="E94" i="11" s="1"/>
  <c r="K95" i="11" a="1"/>
  <c r="K95" i="11" s="1"/>
  <c r="C95" i="11" a="1"/>
  <c r="C95" i="11" s="1"/>
  <c r="D95" i="11" a="1"/>
  <c r="D95" i="11" s="1"/>
  <c r="E95" i="11" a="1"/>
  <c r="E95" i="11" s="1"/>
  <c r="K96" i="11" a="1"/>
  <c r="K96" i="11" s="1"/>
  <c r="C96" i="11" a="1"/>
  <c r="C96" i="11" s="1"/>
  <c r="D96" i="11" a="1"/>
  <c r="D96" i="11" s="1"/>
  <c r="E96" i="11" a="1"/>
  <c r="E96" i="11" s="1"/>
  <c r="K97" i="11" a="1"/>
  <c r="K97" i="11" s="1"/>
  <c r="C97" i="11" a="1"/>
  <c r="C97" i="11" s="1"/>
  <c r="D97" i="11" a="1"/>
  <c r="D97" i="11" s="1"/>
  <c r="E97" i="11" a="1"/>
  <c r="E97" i="11" s="1"/>
  <c r="K60" i="11" a="1"/>
  <c r="K60" i="11" s="1"/>
  <c r="C60" i="11" a="1"/>
  <c r="C60" i="11" s="1"/>
  <c r="D60" i="11" a="1"/>
  <c r="D60" i="11" s="1"/>
  <c r="E60" i="11" a="1"/>
  <c r="E60" i="11" s="1"/>
  <c r="K79" i="11" a="1"/>
  <c r="K79" i="11" s="1"/>
  <c r="C79" i="11" a="1"/>
  <c r="C79" i="11" s="1"/>
  <c r="D79" i="11" a="1"/>
  <c r="D79" i="11" s="1"/>
  <c r="E79" i="11" a="1"/>
  <c r="E79" i="11" s="1"/>
  <c r="K87" i="11" a="1"/>
  <c r="K87" i="11" s="1"/>
  <c r="C87" i="11" a="1"/>
  <c r="C87" i="11" s="1"/>
  <c r="D87" i="11" a="1"/>
  <c r="D87" i="11" s="1"/>
  <c r="E87" i="11" a="1"/>
  <c r="E87" i="11" s="1"/>
  <c r="K84" i="11" a="1"/>
  <c r="K84" i="11" s="1"/>
  <c r="C84" i="11" a="1"/>
  <c r="C84" i="11" s="1"/>
  <c r="D84" i="11" a="1"/>
  <c r="D84" i="11" s="1"/>
  <c r="E84" i="11" a="1"/>
  <c r="E84" i="11" s="1"/>
  <c r="K42" i="11" a="1"/>
  <c r="K42" i="11" s="1"/>
  <c r="C42" i="11" a="1"/>
  <c r="C42" i="11" s="1"/>
  <c r="D42" i="11" a="1"/>
  <c r="D42" i="11" s="1"/>
  <c r="E42" i="11" a="1"/>
  <c r="E42" i="11" s="1"/>
  <c r="K66" i="11" a="1"/>
  <c r="K66" i="11" s="1"/>
  <c r="C66" i="11" a="1"/>
  <c r="C66" i="11" s="1"/>
  <c r="D66" i="11" a="1"/>
  <c r="D66" i="11" s="1"/>
  <c r="E66" i="11" a="1"/>
  <c r="E66" i="11" s="1"/>
  <c r="K29" i="11" a="1"/>
  <c r="K29" i="11" s="1"/>
  <c r="C29" i="11" a="1"/>
  <c r="C29" i="11" s="1"/>
  <c r="D29" i="11" a="1"/>
  <c r="D29" i="11" s="1"/>
  <c r="E29" i="11" a="1"/>
  <c r="E29" i="11" s="1"/>
  <c r="K7" i="11" a="1"/>
  <c r="K7" i="11" s="1"/>
  <c r="C7" i="11" a="1"/>
  <c r="C7" i="11" s="1"/>
  <c r="D7" i="11" a="1"/>
  <c r="D7" i="11" s="1"/>
  <c r="E7" i="11" a="1"/>
  <c r="E7" i="11" s="1"/>
  <c r="K31" i="11" a="1"/>
  <c r="K31" i="11" s="1"/>
  <c r="C31" i="11" a="1"/>
  <c r="C31" i="11" s="1"/>
  <c r="D31" i="11" a="1"/>
  <c r="D31" i="11" s="1"/>
  <c r="E31" i="11" a="1"/>
  <c r="E31" i="11" s="1"/>
  <c r="K32" i="11" a="1"/>
  <c r="K32" i="11" s="1"/>
  <c r="C32" i="11" a="1"/>
  <c r="C32" i="11" s="1"/>
  <c r="D32" i="11" a="1"/>
  <c r="D32" i="11" s="1"/>
  <c r="E32" i="11" a="1"/>
  <c r="E32" i="11" s="1"/>
  <c r="K58" i="11" a="1"/>
  <c r="K58" i="11" s="1"/>
  <c r="C58" i="11" a="1"/>
  <c r="C58" i="11" s="1"/>
  <c r="D58" i="11" a="1"/>
  <c r="D58" i="11" s="1"/>
  <c r="E58" i="11" a="1"/>
  <c r="E58" i="11" s="1"/>
  <c r="K14" i="11" a="1"/>
  <c r="K14" i="11" s="1"/>
  <c r="C14" i="11" a="1"/>
  <c r="C14" i="11" s="1"/>
  <c r="D14" i="11" a="1"/>
  <c r="D14" i="11" s="1"/>
  <c r="E14" i="11" a="1"/>
  <c r="E14" i="11" s="1"/>
  <c r="K46" i="11" a="1"/>
  <c r="K46" i="11" s="1"/>
  <c r="C46" i="11" a="1"/>
  <c r="C46" i="11" s="1"/>
  <c r="D46" i="11" a="1"/>
  <c r="D46" i="11" s="1"/>
  <c r="E46" i="11" a="1"/>
  <c r="E46" i="11" s="1"/>
  <c r="K30" i="11" a="1"/>
  <c r="K30" i="11" s="1"/>
  <c r="C30" i="11" a="1"/>
  <c r="C30" i="11" s="1"/>
  <c r="D30" i="11" a="1"/>
  <c r="D30" i="11" s="1"/>
  <c r="E30" i="11" a="1"/>
  <c r="E30" i="11" s="1"/>
  <c r="K55" i="11" a="1"/>
  <c r="K55" i="11" s="1"/>
  <c r="C55" i="11" a="1"/>
  <c r="C55" i="11" s="1"/>
  <c r="D55" i="11" a="1"/>
  <c r="D55" i="11" s="1"/>
  <c r="E55" i="11" a="1"/>
  <c r="E55" i="11" s="1"/>
  <c r="K44" i="11" a="1"/>
  <c r="K44" i="11" s="1"/>
  <c r="C44" i="11" a="1"/>
  <c r="C44" i="11" s="1"/>
  <c r="D44" i="11" a="1"/>
  <c r="D44" i="11" s="1"/>
  <c r="E44" i="11" a="1"/>
  <c r="E44" i="11" s="1"/>
  <c r="K45" i="11" a="1"/>
  <c r="K45" i="11" s="1"/>
  <c r="N45" i="11" s="1"/>
  <c r="C45" i="11" a="1"/>
  <c r="C45" i="11" s="1"/>
  <c r="D45" i="11" a="1"/>
  <c r="D45" i="11" s="1"/>
  <c r="E45" i="11" a="1"/>
  <c r="E45" i="11" s="1"/>
  <c r="K3" i="11" a="1"/>
  <c r="K3" i="11" s="1"/>
  <c r="C3" i="11" a="1"/>
  <c r="C3" i="11" s="1"/>
  <c r="D3" i="11" a="1"/>
  <c r="D3" i="11" s="1"/>
  <c r="E3" i="11" a="1"/>
  <c r="E3" i="11" s="1"/>
  <c r="K52" i="11" a="1"/>
  <c r="K52" i="11" s="1"/>
  <c r="N52" i="11" s="1"/>
  <c r="C52" i="11" a="1"/>
  <c r="C52" i="11" s="1"/>
  <c r="D52" i="11" a="1"/>
  <c r="D52" i="11" s="1"/>
  <c r="E52" i="11" a="1"/>
  <c r="E52" i="11" s="1"/>
  <c r="K73" i="11" a="1"/>
  <c r="K73" i="11" s="1"/>
  <c r="C73" i="11" a="1"/>
  <c r="C73" i="11" s="1"/>
  <c r="D73" i="11" a="1"/>
  <c r="D73" i="11" s="1"/>
  <c r="E73" i="11" a="1"/>
  <c r="E73" i="11" s="1"/>
  <c r="K62" i="11" a="1"/>
  <c r="K62" i="11" s="1"/>
  <c r="C62" i="11" a="1"/>
  <c r="C62" i="11" s="1"/>
  <c r="D62" i="11" a="1"/>
  <c r="D62" i="11" s="1"/>
  <c r="E62" i="11" a="1"/>
  <c r="E62" i="11" s="1"/>
  <c r="K2" i="11" a="1"/>
  <c r="K2" i="11" s="1"/>
  <c r="C2" i="11" a="1"/>
  <c r="C2" i="11" s="1"/>
  <c r="D2" i="11" a="1"/>
  <c r="D2" i="11" s="1"/>
  <c r="E2" i="11" a="1"/>
  <c r="E2" i="11" s="1"/>
  <c r="K4" i="11" a="1"/>
  <c r="K4" i="11" s="1"/>
  <c r="C4" i="11" a="1"/>
  <c r="C4" i="11" s="1"/>
  <c r="D4" i="11" a="1"/>
  <c r="D4" i="11" s="1"/>
  <c r="E4" i="11" a="1"/>
  <c r="E4" i="11" s="1"/>
  <c r="K74" i="11" a="1"/>
  <c r="K74" i="11" s="1"/>
  <c r="C74" i="11" a="1"/>
  <c r="C74" i="11" s="1"/>
  <c r="D74" i="11" a="1"/>
  <c r="D74" i="11" s="1"/>
  <c r="E74" i="11" a="1"/>
  <c r="E74" i="11" s="1"/>
  <c r="K41" i="11" a="1"/>
  <c r="K41" i="11" s="1"/>
  <c r="C41" i="11" a="1"/>
  <c r="C41" i="11" s="1"/>
  <c r="D41" i="11" a="1"/>
  <c r="D41" i="11" s="1"/>
  <c r="E41" i="11" a="1"/>
  <c r="E41" i="11" s="1"/>
  <c r="K56" i="11" a="1"/>
  <c r="K56" i="11" s="1"/>
  <c r="C56" i="11" a="1"/>
  <c r="C56" i="11" s="1"/>
  <c r="D56" i="11" a="1"/>
  <c r="D56" i="11" s="1"/>
  <c r="E56" i="11" a="1"/>
  <c r="E56" i="11" s="1"/>
  <c r="K20" i="11" a="1"/>
  <c r="K20" i="11" s="1"/>
  <c r="C20" i="11" a="1"/>
  <c r="C20" i="11" s="1"/>
  <c r="D20" i="11" a="1"/>
  <c r="D20" i="11" s="1"/>
  <c r="E20" i="11" a="1"/>
  <c r="E20" i="11" s="1"/>
  <c r="K51" i="11" a="1"/>
  <c r="K51" i="11" s="1"/>
  <c r="C51" i="11" a="1"/>
  <c r="C51" i="11" s="1"/>
  <c r="D51" i="11" a="1"/>
  <c r="D51" i="11" s="1"/>
  <c r="E51" i="11" a="1"/>
  <c r="E51" i="11" s="1"/>
  <c r="K61" i="11" a="1"/>
  <c r="K61" i="11" s="1"/>
  <c r="C61" i="11" a="1"/>
  <c r="C61" i="11" s="1"/>
  <c r="D61" i="11" a="1"/>
  <c r="D61" i="11" s="1"/>
  <c r="E61" i="11" a="1"/>
  <c r="E61" i="11" s="1"/>
  <c r="K47" i="11" a="1"/>
  <c r="K47" i="11" s="1"/>
  <c r="C47" i="11" a="1"/>
  <c r="C47" i="11" s="1"/>
  <c r="D47" i="11" a="1"/>
  <c r="D47" i="11" s="1"/>
  <c r="E47" i="11" a="1"/>
  <c r="E47" i="11" s="1"/>
  <c r="K24" i="11" a="1"/>
  <c r="K24" i="11" s="1"/>
  <c r="C24" i="11" a="1"/>
  <c r="C24" i="11" s="1"/>
  <c r="D24" i="11" a="1"/>
  <c r="D24" i="11" s="1"/>
  <c r="E24" i="11" a="1"/>
  <c r="E24" i="11" s="1"/>
  <c r="K33" i="11" a="1"/>
  <c r="K33" i="11" s="1"/>
  <c r="N33" i="11" s="1"/>
  <c r="C33" i="11" a="1"/>
  <c r="C33" i="11" s="1"/>
  <c r="D33" i="11" a="1"/>
  <c r="D33" i="11" s="1"/>
  <c r="E33" i="11" a="1"/>
  <c r="E33" i="11" s="1"/>
  <c r="K86" i="11" a="1"/>
  <c r="K86" i="11" s="1"/>
  <c r="C86" i="11" a="1"/>
  <c r="C86" i="11" s="1"/>
  <c r="D86" i="11" a="1"/>
  <c r="D86" i="11" s="1"/>
  <c r="E86" i="11" a="1"/>
  <c r="E86" i="11" s="1"/>
  <c r="K48" i="11" a="1"/>
  <c r="K48" i="11" s="1"/>
  <c r="C48" i="11" a="1"/>
  <c r="C48" i="11" s="1"/>
  <c r="D48" i="11" a="1"/>
  <c r="D48" i="11" s="1"/>
  <c r="E48" i="11" a="1"/>
  <c r="E48" i="11" s="1"/>
  <c r="K8" i="11" a="1"/>
  <c r="K8" i="11" s="1"/>
  <c r="C8" i="11" a="1"/>
  <c r="C8" i="11" s="1"/>
  <c r="D8" i="11" a="1"/>
  <c r="D8" i="11" s="1"/>
  <c r="E8" i="11" a="1"/>
  <c r="E8" i="11" s="1"/>
  <c r="K9" i="11" a="1"/>
  <c r="K9" i="11" s="1"/>
  <c r="C9" i="11" a="1"/>
  <c r="C9" i="11" s="1"/>
  <c r="D9" i="11" a="1"/>
  <c r="D9" i="11" s="1"/>
  <c r="E9" i="11" a="1"/>
  <c r="E9" i="11" s="1"/>
  <c r="K25" i="11" a="1"/>
  <c r="K25" i="11" s="1"/>
  <c r="C25" i="11" a="1"/>
  <c r="C25" i="11" s="1"/>
  <c r="D25" i="11" a="1"/>
  <c r="D25" i="11" s="1"/>
  <c r="E25" i="11" a="1"/>
  <c r="E25" i="11" s="1"/>
  <c r="K64" i="11" a="1"/>
  <c r="K64" i="11" s="1"/>
  <c r="C64" i="11" a="1"/>
  <c r="C64" i="11" s="1"/>
  <c r="D64" i="11" a="1"/>
  <c r="D64" i="11" s="1"/>
  <c r="E64" i="11" a="1"/>
  <c r="E64" i="11" s="1"/>
  <c r="K26" i="11" a="1"/>
  <c r="K26" i="11" s="1"/>
  <c r="C26" i="11" a="1"/>
  <c r="C26" i="11" s="1"/>
  <c r="D26" i="11" a="1"/>
  <c r="D26" i="11" s="1"/>
  <c r="E26" i="11" a="1"/>
  <c r="E26" i="11" s="1"/>
  <c r="K37" i="11" a="1"/>
  <c r="K37" i="11" s="1"/>
  <c r="C37" i="11" a="1"/>
  <c r="C37" i="11" s="1"/>
  <c r="D37" i="11" a="1"/>
  <c r="D37" i="11" s="1"/>
  <c r="E37" i="11" a="1"/>
  <c r="E37" i="11" s="1"/>
  <c r="K65" i="11" a="1"/>
  <c r="K65" i="11" s="1"/>
  <c r="C65" i="11" a="1"/>
  <c r="C65" i="11" s="1"/>
  <c r="D65" i="11" a="1"/>
  <c r="D65" i="11" s="1"/>
  <c r="E65" i="11" a="1"/>
  <c r="E65" i="11" s="1"/>
  <c r="K17" i="11" a="1"/>
  <c r="K17" i="11" s="1"/>
  <c r="C17" i="11" a="1"/>
  <c r="C17" i="11" s="1"/>
  <c r="D17" i="11" a="1"/>
  <c r="D17" i="11" s="1"/>
  <c r="E17" i="11" a="1"/>
  <c r="E17" i="11" s="1"/>
  <c r="K57" i="11" a="1"/>
  <c r="K57" i="11" s="1"/>
  <c r="C57" i="11" a="1"/>
  <c r="C57" i="11" s="1"/>
  <c r="D57" i="11" a="1"/>
  <c r="D57" i="11" s="1"/>
  <c r="E57" i="11" a="1"/>
  <c r="E57" i="11" s="1"/>
  <c r="K11" i="11" a="1"/>
  <c r="K11" i="11" s="1"/>
  <c r="C11" i="11" a="1"/>
  <c r="C11" i="11" s="1"/>
  <c r="D11" i="11" a="1"/>
  <c r="D11" i="11" s="1"/>
  <c r="E11" i="11" a="1"/>
  <c r="E11" i="11" s="1"/>
  <c r="E69" i="11" a="1"/>
  <c r="E69" i="11" s="1"/>
  <c r="D69" i="11" a="1"/>
  <c r="D69" i="11" s="1"/>
  <c r="C69" i="11" a="1"/>
  <c r="C69" i="11" s="1"/>
  <c r="K69" i="11" a="1"/>
  <c r="K69" i="11" s="1"/>
  <c r="A141" i="9"/>
  <c r="A136" i="9"/>
  <c r="A30" i="9"/>
  <c r="A88" i="9"/>
  <c r="A76" i="9"/>
  <c r="A122" i="9"/>
  <c r="A45" i="9"/>
  <c r="A18" i="9"/>
  <c r="A15" i="9"/>
  <c r="A82" i="9"/>
  <c r="A128" i="9"/>
  <c r="A47" i="9"/>
  <c r="A156" i="9"/>
  <c r="A24" i="9"/>
  <c r="A155" i="9"/>
  <c r="A134" i="9"/>
  <c r="A152" i="9"/>
  <c r="A151" i="9"/>
  <c r="A93" i="9"/>
  <c r="A127" i="9"/>
  <c r="A143" i="9"/>
  <c r="A140" i="9"/>
  <c r="A105" i="9"/>
  <c r="A102" i="9"/>
  <c r="A48" i="9"/>
  <c r="A100" i="9"/>
  <c r="A117" i="9"/>
  <c r="A142" i="9"/>
  <c r="A96" i="9"/>
  <c r="A114" i="9"/>
  <c r="A10" i="9"/>
  <c r="A52" i="9"/>
  <c r="A77" i="9"/>
  <c r="A116" i="9"/>
  <c r="A50" i="9"/>
  <c r="A27" i="9"/>
  <c r="A92" i="9"/>
  <c r="A61" i="9"/>
  <c r="A157" i="9"/>
  <c r="A49" i="9"/>
  <c r="A154" i="9"/>
  <c r="A87" i="9"/>
  <c r="A51" i="9"/>
  <c r="A33" i="9"/>
  <c r="A74" i="9"/>
  <c r="A135" i="9"/>
  <c r="A72" i="9"/>
  <c r="A101" i="9"/>
  <c r="A58" i="9"/>
  <c r="A107" i="9"/>
  <c r="A4" i="9"/>
  <c r="A83" i="9"/>
  <c r="A125" i="9"/>
  <c r="A25" i="9"/>
  <c r="A31" i="9"/>
  <c r="A147" i="9"/>
  <c r="A65" i="9"/>
  <c r="A85" i="9"/>
  <c r="A80" i="9"/>
  <c r="A42" i="9"/>
  <c r="A86" i="9"/>
  <c r="A44" i="9"/>
  <c r="A145" i="9"/>
  <c r="A32" i="9"/>
  <c r="A153" i="9"/>
  <c r="A138" i="9"/>
  <c r="A71" i="9"/>
  <c r="A115" i="9"/>
  <c r="A43" i="9"/>
  <c r="A38" i="9"/>
  <c r="A7" i="9"/>
  <c r="A73" i="9"/>
  <c r="A78" i="9"/>
  <c r="A46" i="9"/>
  <c r="A91" i="9"/>
  <c r="A37" i="9"/>
  <c r="A36" i="9"/>
  <c r="A108" i="9"/>
  <c r="A28" i="9"/>
  <c r="A79" i="9"/>
  <c r="A68" i="9"/>
  <c r="A19" i="9"/>
  <c r="A67" i="9"/>
  <c r="A81" i="9"/>
  <c r="A149" i="9"/>
  <c r="A54" i="9"/>
  <c r="A144" i="9"/>
  <c r="A109" i="9"/>
  <c r="A57" i="9"/>
  <c r="A35" i="9"/>
  <c r="A16" i="9"/>
  <c r="A84" i="9"/>
  <c r="A60" i="9"/>
  <c r="A103" i="9"/>
  <c r="A89" i="9"/>
  <c r="A69" i="9"/>
  <c r="A131" i="9"/>
  <c r="A137" i="9"/>
  <c r="A8" i="9"/>
  <c r="A55" i="9"/>
  <c r="A6" i="9"/>
  <c r="A132" i="9"/>
  <c r="A94" i="9"/>
  <c r="A29" i="9"/>
  <c r="A53" i="9"/>
  <c r="A112" i="9"/>
  <c r="A70" i="9"/>
  <c r="A14" i="9"/>
  <c r="A106" i="9"/>
  <c r="A120" i="9"/>
  <c r="A90" i="9"/>
  <c r="A121" i="9"/>
  <c r="A97" i="9"/>
  <c r="A104" i="9"/>
  <c r="A123" i="9"/>
  <c r="A124" i="9"/>
  <c r="A56" i="9"/>
  <c r="A18" i="8"/>
  <c r="A17" i="8"/>
  <c r="A16" i="8"/>
  <c r="A15" i="8"/>
  <c r="A14" i="8"/>
  <c r="A13" i="8"/>
  <c r="A12" i="8"/>
  <c r="A11" i="8"/>
  <c r="A10" i="8"/>
  <c r="A9" i="8"/>
  <c r="A8" i="8"/>
  <c r="A7" i="8"/>
  <c r="A6" i="8"/>
  <c r="A5" i="8"/>
  <c r="A4" i="8"/>
  <c r="A3" i="8"/>
  <c r="A2" i="8"/>
  <c r="A18" i="7"/>
  <c r="A17" i="7"/>
  <c r="A16" i="7"/>
  <c r="A15" i="7"/>
  <c r="A14" i="7"/>
  <c r="A13" i="7"/>
  <c r="A12" i="7"/>
  <c r="A11" i="7"/>
  <c r="A10" i="7"/>
  <c r="A9" i="7"/>
  <c r="A8" i="7"/>
  <c r="A7" i="7"/>
  <c r="A6" i="7"/>
  <c r="A5" i="7"/>
  <c r="A4" i="7"/>
  <c r="A3" i="7"/>
  <c r="A2" i="7"/>
  <c r="A3" i="6"/>
  <c r="A4" i="6"/>
  <c r="A5" i="6"/>
  <c r="A6" i="6"/>
  <c r="A7" i="6"/>
  <c r="A8" i="6"/>
  <c r="A9" i="6"/>
  <c r="A10" i="6"/>
  <c r="A11" i="6"/>
  <c r="A12" i="6"/>
  <c r="A13" i="6"/>
  <c r="A14" i="6"/>
  <c r="A15" i="6"/>
  <c r="A16" i="6"/>
  <c r="A17" i="6"/>
  <c r="A18" i="6"/>
  <c r="A2" i="6"/>
  <c r="A16" i="5"/>
  <c r="A15" i="5"/>
  <c r="A14" i="5"/>
  <c r="A13" i="5"/>
  <c r="A12" i="5"/>
  <c r="A11" i="5"/>
  <c r="A10" i="5"/>
  <c r="A9" i="5"/>
  <c r="A8" i="5"/>
  <c r="A7" i="5"/>
  <c r="A6" i="5"/>
  <c r="A5" i="5"/>
  <c r="A4" i="5"/>
  <c r="A3" i="5"/>
  <c r="A2" i="5"/>
  <c r="A6" i="4"/>
  <c r="A7" i="4"/>
  <c r="A8" i="4"/>
  <c r="A9" i="4"/>
  <c r="A10" i="4"/>
  <c r="A11" i="4"/>
  <c r="A12" i="4"/>
  <c r="A13" i="4"/>
  <c r="A14" i="4"/>
  <c r="A15" i="4"/>
  <c r="A16" i="4"/>
  <c r="A3" i="4"/>
  <c r="A4" i="4"/>
  <c r="A5" i="4"/>
  <c r="A2" i="4"/>
  <c r="N98" i="1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9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20"/>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5"/>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7"/>
        </ext>
      </extLst>
    </bk>
    <bk>
      <extLst>
        <ext uri="{3e2802c4-a4d2-4d8b-9148-e3be6c30e623}">
          <xlrd:rvb i="150"/>
        </ext>
      </extLst>
    </bk>
    <bk>
      <extLst>
        <ext uri="{3e2802c4-a4d2-4d8b-9148-e3be6c30e623}">
          <xlrd:rvb i="153"/>
        </ext>
      </extLst>
    </bk>
    <bk>
      <extLst>
        <ext uri="{3e2802c4-a4d2-4d8b-9148-e3be6c30e623}">
          <xlrd:rvb i="156"/>
        </ext>
      </extLst>
    </bk>
    <bk>
      <extLst>
        <ext uri="{3e2802c4-a4d2-4d8b-9148-e3be6c30e623}">
          <xlrd:rvb i="162"/>
        </ext>
      </extLst>
    </bk>
    <bk>
      <extLst>
        <ext uri="{3e2802c4-a4d2-4d8b-9148-e3be6c30e623}">
          <xlrd:rvb i="165"/>
        </ext>
      </extLst>
    </bk>
    <bk>
      <extLst>
        <ext uri="{3e2802c4-a4d2-4d8b-9148-e3be6c30e623}">
          <xlrd:rvb i="168"/>
        </ext>
      </extLst>
    </bk>
    <bk>
      <extLst>
        <ext uri="{3e2802c4-a4d2-4d8b-9148-e3be6c30e623}">
          <xlrd:rvb i="171"/>
        </ext>
      </extLst>
    </bk>
    <bk>
      <extLst>
        <ext uri="{3e2802c4-a4d2-4d8b-9148-e3be6c30e623}">
          <xlrd:rvb i="174"/>
        </ext>
      </extLst>
    </bk>
    <bk>
      <extLst>
        <ext uri="{3e2802c4-a4d2-4d8b-9148-e3be6c30e623}">
          <xlrd:rvb i="177"/>
        </ext>
      </extLst>
    </bk>
    <bk>
      <extLst>
        <ext uri="{3e2802c4-a4d2-4d8b-9148-e3be6c30e623}">
          <xlrd:rvb i="183"/>
        </ext>
      </extLst>
    </bk>
    <bk>
      <extLst>
        <ext uri="{3e2802c4-a4d2-4d8b-9148-e3be6c30e623}">
          <xlrd:rvb i="186"/>
        </ext>
      </extLst>
    </bk>
    <bk>
      <extLst>
        <ext uri="{3e2802c4-a4d2-4d8b-9148-e3be6c30e623}">
          <xlrd:rvb i="189"/>
        </ext>
      </extLst>
    </bk>
    <bk>
      <extLst>
        <ext uri="{3e2802c4-a4d2-4d8b-9148-e3be6c30e623}">
          <xlrd:rvb i="192"/>
        </ext>
      </extLst>
    </bk>
    <bk>
      <extLst>
        <ext uri="{3e2802c4-a4d2-4d8b-9148-e3be6c30e623}">
          <xlrd:rvb i="195"/>
        </ext>
      </extLst>
    </bk>
    <bk>
      <extLst>
        <ext uri="{3e2802c4-a4d2-4d8b-9148-e3be6c30e623}">
          <xlrd:rvb i="198"/>
        </ext>
      </extLst>
    </bk>
    <bk>
      <extLst>
        <ext uri="{3e2802c4-a4d2-4d8b-9148-e3be6c30e623}">
          <xlrd:rvb i="201"/>
        </ext>
      </extLst>
    </bk>
    <bk>
      <extLst>
        <ext uri="{3e2802c4-a4d2-4d8b-9148-e3be6c30e623}">
          <xlrd:rvb i="204"/>
        </ext>
      </extLst>
    </bk>
    <bk>
      <extLst>
        <ext uri="{3e2802c4-a4d2-4d8b-9148-e3be6c30e623}">
          <xlrd:rvb i="207"/>
        </ext>
      </extLst>
    </bk>
    <bk>
      <extLst>
        <ext uri="{3e2802c4-a4d2-4d8b-9148-e3be6c30e623}">
          <xlrd:rvb i="210"/>
        </ext>
      </extLst>
    </bk>
    <bk>
      <extLst>
        <ext uri="{3e2802c4-a4d2-4d8b-9148-e3be6c30e623}">
          <xlrd:rvb i="213"/>
        </ext>
      </extLst>
    </bk>
    <bk>
      <extLst>
        <ext uri="{3e2802c4-a4d2-4d8b-9148-e3be6c30e623}">
          <xlrd:rvb i="216"/>
        </ext>
      </extLst>
    </bk>
    <bk>
      <extLst>
        <ext uri="{3e2802c4-a4d2-4d8b-9148-e3be6c30e623}">
          <xlrd:rvb i="219"/>
        </ext>
      </extLst>
    </bk>
    <bk>
      <extLst>
        <ext uri="{3e2802c4-a4d2-4d8b-9148-e3be6c30e623}">
          <xlrd:rvb i="225"/>
        </ext>
      </extLst>
    </bk>
    <bk>
      <extLst>
        <ext uri="{3e2802c4-a4d2-4d8b-9148-e3be6c30e623}">
          <xlrd:rvb i="228"/>
        </ext>
      </extLst>
    </bk>
    <bk>
      <extLst>
        <ext uri="{3e2802c4-a4d2-4d8b-9148-e3be6c30e623}">
          <xlrd:rvb i="231"/>
        </ext>
      </extLst>
    </bk>
    <bk>
      <extLst>
        <ext uri="{3e2802c4-a4d2-4d8b-9148-e3be6c30e623}">
          <xlrd:rvb i="234"/>
        </ext>
      </extLst>
    </bk>
    <bk>
      <extLst>
        <ext uri="{3e2802c4-a4d2-4d8b-9148-e3be6c30e623}">
          <xlrd:rvb i="237"/>
        </ext>
      </extLst>
    </bk>
    <bk>
      <extLst>
        <ext uri="{3e2802c4-a4d2-4d8b-9148-e3be6c30e623}">
          <xlrd:rvb i="240"/>
        </ext>
      </extLst>
    </bk>
    <bk>
      <extLst>
        <ext uri="{3e2802c4-a4d2-4d8b-9148-e3be6c30e623}">
          <xlrd:rvb i="243"/>
        </ext>
      </extLst>
    </bk>
    <bk>
      <extLst>
        <ext uri="{3e2802c4-a4d2-4d8b-9148-e3be6c30e623}">
          <xlrd:rvb i="246"/>
        </ext>
      </extLst>
    </bk>
    <bk>
      <extLst>
        <ext uri="{3e2802c4-a4d2-4d8b-9148-e3be6c30e623}">
          <xlrd:rvb i="252"/>
        </ext>
      </extLst>
    </bk>
    <bk>
      <extLst>
        <ext uri="{3e2802c4-a4d2-4d8b-9148-e3be6c30e623}">
          <xlrd:rvb i="255"/>
        </ext>
      </extLst>
    </bk>
    <bk>
      <extLst>
        <ext uri="{3e2802c4-a4d2-4d8b-9148-e3be6c30e623}">
          <xlrd:rvb i="258"/>
        </ext>
      </extLst>
    </bk>
    <bk>
      <extLst>
        <ext uri="{3e2802c4-a4d2-4d8b-9148-e3be6c30e623}">
          <xlrd:rvb i="261"/>
        </ext>
      </extLst>
    </bk>
    <bk>
      <extLst>
        <ext uri="{3e2802c4-a4d2-4d8b-9148-e3be6c30e623}">
          <xlrd:rvb i="264"/>
        </ext>
      </extLst>
    </bk>
    <bk>
      <extLst>
        <ext uri="{3e2802c4-a4d2-4d8b-9148-e3be6c30e623}">
          <xlrd:rvb i="271"/>
        </ext>
      </extLst>
    </bk>
    <bk>
      <extLst>
        <ext uri="{3e2802c4-a4d2-4d8b-9148-e3be6c30e623}">
          <xlrd:rvb i="274"/>
        </ext>
      </extLst>
    </bk>
    <bk>
      <extLst>
        <ext uri="{3e2802c4-a4d2-4d8b-9148-e3be6c30e623}">
          <xlrd:rvb i="277"/>
        </ext>
      </extLst>
    </bk>
    <bk>
      <extLst>
        <ext uri="{3e2802c4-a4d2-4d8b-9148-e3be6c30e623}">
          <xlrd:rvb i="280"/>
        </ext>
      </extLst>
    </bk>
    <bk>
      <extLst>
        <ext uri="{3e2802c4-a4d2-4d8b-9148-e3be6c30e623}">
          <xlrd:rvb i="283"/>
        </ext>
      </extLst>
    </bk>
    <bk>
      <extLst>
        <ext uri="{3e2802c4-a4d2-4d8b-9148-e3be6c30e623}">
          <xlrd:rvb i="286"/>
        </ext>
      </extLst>
    </bk>
    <bk>
      <extLst>
        <ext uri="{3e2802c4-a4d2-4d8b-9148-e3be6c30e623}">
          <xlrd:rvb i="289"/>
        </ext>
      </extLst>
    </bk>
    <bk>
      <extLst>
        <ext uri="{3e2802c4-a4d2-4d8b-9148-e3be6c30e623}">
          <xlrd:rvb i="292"/>
        </ext>
      </extLst>
    </bk>
    <bk>
      <extLst>
        <ext uri="{3e2802c4-a4d2-4d8b-9148-e3be6c30e623}">
          <xlrd:rvb i="295"/>
        </ext>
      </extLst>
    </bk>
    <bk>
      <extLst>
        <ext uri="{3e2802c4-a4d2-4d8b-9148-e3be6c30e623}">
          <xlrd:rvb i="298"/>
        </ext>
      </extLst>
    </bk>
    <bk>
      <extLst>
        <ext uri="{3e2802c4-a4d2-4d8b-9148-e3be6c30e623}">
          <xlrd:rvb i="301"/>
        </ext>
      </extLst>
    </bk>
    <bk>
      <extLst>
        <ext uri="{3e2802c4-a4d2-4d8b-9148-e3be6c30e623}">
          <xlrd:rvb i="304"/>
        </ext>
      </extLst>
    </bk>
    <bk>
      <extLst>
        <ext uri="{3e2802c4-a4d2-4d8b-9148-e3be6c30e623}">
          <xlrd:rvb i="307"/>
        </ext>
      </extLst>
    </bk>
    <bk>
      <extLst>
        <ext uri="{3e2802c4-a4d2-4d8b-9148-e3be6c30e623}">
          <xlrd:rvb i="310"/>
        </ext>
      </extLst>
    </bk>
    <bk>
      <extLst>
        <ext uri="{3e2802c4-a4d2-4d8b-9148-e3be6c30e623}">
          <xlrd:rvb i="313"/>
        </ext>
      </extLst>
    </bk>
    <bk>
      <extLst>
        <ext uri="{3e2802c4-a4d2-4d8b-9148-e3be6c30e623}">
          <xlrd:rvb i="316"/>
        </ext>
      </extLst>
    </bk>
    <bk>
      <extLst>
        <ext uri="{3e2802c4-a4d2-4d8b-9148-e3be6c30e623}">
          <xlrd:rvb i="319"/>
        </ext>
      </extLst>
    </bk>
    <bk>
      <extLst>
        <ext uri="{3e2802c4-a4d2-4d8b-9148-e3be6c30e623}">
          <xlrd:rvb i="325"/>
        </ext>
      </extLst>
    </bk>
    <bk>
      <extLst>
        <ext uri="{3e2802c4-a4d2-4d8b-9148-e3be6c30e623}">
          <xlrd:rvb i="328"/>
        </ext>
      </extLst>
    </bk>
    <bk>
      <extLst>
        <ext uri="{3e2802c4-a4d2-4d8b-9148-e3be6c30e623}">
          <xlrd:rvb i="331"/>
        </ext>
      </extLst>
    </bk>
    <bk>
      <extLst>
        <ext uri="{3e2802c4-a4d2-4d8b-9148-e3be6c30e623}">
          <xlrd:rvb i="334"/>
        </ext>
      </extLst>
    </bk>
    <bk>
      <extLst>
        <ext uri="{3e2802c4-a4d2-4d8b-9148-e3be6c30e623}">
          <xlrd:rvb i="340"/>
        </ext>
      </extLst>
    </bk>
    <bk>
      <extLst>
        <ext uri="{3e2802c4-a4d2-4d8b-9148-e3be6c30e623}">
          <xlrd:rvb i="343"/>
        </ext>
      </extLst>
    </bk>
    <bk>
      <extLst>
        <ext uri="{3e2802c4-a4d2-4d8b-9148-e3be6c30e623}">
          <xlrd:rvb i="346"/>
        </ext>
      </extLst>
    </bk>
    <bk>
      <extLst>
        <ext uri="{3e2802c4-a4d2-4d8b-9148-e3be6c30e623}">
          <xlrd:rvb i="349"/>
        </ext>
      </extLst>
    </bk>
    <bk>
      <extLst>
        <ext uri="{3e2802c4-a4d2-4d8b-9148-e3be6c30e623}">
          <xlrd:rvb i="352"/>
        </ext>
      </extLst>
    </bk>
    <bk>
      <extLst>
        <ext uri="{3e2802c4-a4d2-4d8b-9148-e3be6c30e623}">
          <xlrd:rvb i="355"/>
        </ext>
      </extLst>
    </bk>
    <bk>
      <extLst>
        <ext uri="{3e2802c4-a4d2-4d8b-9148-e3be6c30e623}">
          <xlrd:rvb i="361"/>
        </ext>
      </extLst>
    </bk>
    <bk>
      <extLst>
        <ext uri="{3e2802c4-a4d2-4d8b-9148-e3be6c30e623}">
          <xlrd:rvb i="364"/>
        </ext>
      </extLst>
    </bk>
    <bk>
      <extLst>
        <ext uri="{3e2802c4-a4d2-4d8b-9148-e3be6c30e623}">
          <xlrd:rvb i="367"/>
        </ext>
      </extLst>
    </bk>
    <bk>
      <extLst>
        <ext uri="{3e2802c4-a4d2-4d8b-9148-e3be6c30e623}">
          <xlrd:rvb i="370"/>
        </ext>
      </extLst>
    </bk>
    <bk>
      <extLst>
        <ext uri="{3e2802c4-a4d2-4d8b-9148-e3be6c30e623}">
          <xlrd:rvb i="373"/>
        </ext>
      </extLst>
    </bk>
    <bk>
      <extLst>
        <ext uri="{3e2802c4-a4d2-4d8b-9148-e3be6c30e623}">
          <xlrd:rvb i="376"/>
        </ext>
      </extLst>
    </bk>
    <bk>
      <extLst>
        <ext uri="{3e2802c4-a4d2-4d8b-9148-e3be6c30e623}">
          <xlrd:rvb i="379"/>
        </ext>
      </extLst>
    </bk>
    <bk>
      <extLst>
        <ext uri="{3e2802c4-a4d2-4d8b-9148-e3be6c30e623}">
          <xlrd:rvb i="382"/>
        </ext>
      </extLst>
    </bk>
    <bk>
      <extLst>
        <ext uri="{3e2802c4-a4d2-4d8b-9148-e3be6c30e623}">
          <xlrd:rvb i="385"/>
        </ext>
      </extLst>
    </bk>
    <bk>
      <extLst>
        <ext uri="{3e2802c4-a4d2-4d8b-9148-e3be6c30e623}">
          <xlrd:rvb i="388"/>
        </ext>
      </extLst>
    </bk>
    <bk>
      <extLst>
        <ext uri="{3e2802c4-a4d2-4d8b-9148-e3be6c30e623}">
          <xlrd:rvb i="391"/>
        </ext>
      </extLst>
    </bk>
    <bk>
      <extLst>
        <ext uri="{3e2802c4-a4d2-4d8b-9148-e3be6c30e623}">
          <xlrd:rvb i="394"/>
        </ext>
      </extLst>
    </bk>
    <bk>
      <extLst>
        <ext uri="{3e2802c4-a4d2-4d8b-9148-e3be6c30e623}">
          <xlrd:rvb i="397"/>
        </ext>
      </extLst>
    </bk>
    <bk>
      <extLst>
        <ext uri="{3e2802c4-a4d2-4d8b-9148-e3be6c30e623}">
          <xlrd:rvb i="400"/>
        </ext>
      </extLst>
    </bk>
    <bk>
      <extLst>
        <ext uri="{3e2802c4-a4d2-4d8b-9148-e3be6c30e623}">
          <xlrd:rvb i="403"/>
        </ext>
      </extLst>
    </bk>
    <bk>
      <extLst>
        <ext uri="{3e2802c4-a4d2-4d8b-9148-e3be6c30e623}">
          <xlrd:rvb i="406"/>
        </ext>
      </extLst>
    </bk>
    <bk>
      <extLst>
        <ext uri="{3e2802c4-a4d2-4d8b-9148-e3be6c30e623}">
          <xlrd:rvb i="409"/>
        </ext>
      </extLst>
    </bk>
    <bk>
      <extLst>
        <ext uri="{3e2802c4-a4d2-4d8b-9148-e3be6c30e623}">
          <xlrd:rvb i="412"/>
        </ext>
      </extLst>
    </bk>
    <bk>
      <extLst>
        <ext uri="{3e2802c4-a4d2-4d8b-9148-e3be6c30e623}">
          <xlrd:rvb i="415"/>
        </ext>
      </extLst>
    </bk>
    <bk>
      <extLst>
        <ext uri="{3e2802c4-a4d2-4d8b-9148-e3be6c30e623}">
          <xlrd:rvb i="421"/>
        </ext>
      </extLst>
    </bk>
    <bk>
      <extLst>
        <ext uri="{3e2802c4-a4d2-4d8b-9148-e3be6c30e623}">
          <xlrd:rvb i="424"/>
        </ext>
      </extLst>
    </bk>
    <bk>
      <extLst>
        <ext uri="{3e2802c4-a4d2-4d8b-9148-e3be6c30e623}">
          <xlrd:rvb i="427"/>
        </ext>
      </extLst>
    </bk>
    <bk>
      <extLst>
        <ext uri="{3e2802c4-a4d2-4d8b-9148-e3be6c30e623}">
          <xlrd:rvb i="430"/>
        </ext>
      </extLst>
    </bk>
    <bk>
      <extLst>
        <ext uri="{3e2802c4-a4d2-4d8b-9148-e3be6c30e623}">
          <xlrd:rvb i="433"/>
        </ext>
      </extLst>
    </bk>
    <bk>
      <extLst>
        <ext uri="{3e2802c4-a4d2-4d8b-9148-e3be6c30e623}">
          <xlrd:rvb i="436"/>
        </ext>
      </extLst>
    </bk>
    <bk>
      <extLst>
        <ext uri="{3e2802c4-a4d2-4d8b-9148-e3be6c30e623}">
          <xlrd:rvb i="439"/>
        </ext>
      </extLst>
    </bk>
    <bk>
      <extLst>
        <ext uri="{3e2802c4-a4d2-4d8b-9148-e3be6c30e623}">
          <xlrd:rvb i="442"/>
        </ext>
      </extLst>
    </bk>
    <bk>
      <extLst>
        <ext uri="{3e2802c4-a4d2-4d8b-9148-e3be6c30e623}">
          <xlrd:rvb i="445"/>
        </ext>
      </extLst>
    </bk>
    <bk>
      <extLst>
        <ext uri="{3e2802c4-a4d2-4d8b-9148-e3be6c30e623}">
          <xlrd:rvb i="448"/>
        </ext>
      </extLst>
    </bk>
    <bk>
      <extLst>
        <ext uri="{3e2802c4-a4d2-4d8b-9148-e3be6c30e623}">
          <xlrd:rvb i="451"/>
        </ext>
      </extLst>
    </bk>
    <bk>
      <extLst>
        <ext uri="{3e2802c4-a4d2-4d8b-9148-e3be6c30e623}">
          <xlrd:rvb i="454"/>
        </ext>
      </extLst>
    </bk>
    <bk>
      <extLst>
        <ext uri="{3e2802c4-a4d2-4d8b-9148-e3be6c30e623}">
          <xlrd:rvb i="457"/>
        </ext>
      </extLst>
    </bk>
    <bk>
      <extLst>
        <ext uri="{3e2802c4-a4d2-4d8b-9148-e3be6c30e623}">
          <xlrd:rvb i="460"/>
        </ext>
      </extLst>
    </bk>
    <bk>
      <extLst>
        <ext uri="{3e2802c4-a4d2-4d8b-9148-e3be6c30e623}">
          <xlrd:rvb i="463"/>
        </ext>
      </extLst>
    </bk>
    <bk>
      <extLst>
        <ext uri="{3e2802c4-a4d2-4d8b-9148-e3be6c30e623}">
          <xlrd:rvb i="466"/>
        </ext>
      </extLst>
    </bk>
    <bk>
      <extLst>
        <ext uri="{3e2802c4-a4d2-4d8b-9148-e3be6c30e623}">
          <xlrd:rvb i="469"/>
        </ext>
      </extLst>
    </bk>
    <bk>
      <extLst>
        <ext uri="{3e2802c4-a4d2-4d8b-9148-e3be6c30e623}">
          <xlrd:rvb i="472"/>
        </ext>
      </extLst>
    </bk>
    <bk>
      <extLst>
        <ext uri="{3e2802c4-a4d2-4d8b-9148-e3be6c30e623}">
          <xlrd:rvb i="475"/>
        </ext>
      </extLst>
    </bk>
    <bk>
      <extLst>
        <ext uri="{3e2802c4-a4d2-4d8b-9148-e3be6c30e623}">
          <xlrd:rvb i="478"/>
        </ext>
      </extLst>
    </bk>
    <bk>
      <extLst>
        <ext uri="{3e2802c4-a4d2-4d8b-9148-e3be6c30e623}">
          <xlrd:rvb i="481"/>
        </ext>
      </extLst>
    </bk>
    <bk>
      <extLst>
        <ext uri="{3e2802c4-a4d2-4d8b-9148-e3be6c30e623}">
          <xlrd:rvb i="484"/>
        </ext>
      </extLst>
    </bk>
    <bk>
      <extLst>
        <ext uri="{3e2802c4-a4d2-4d8b-9148-e3be6c30e623}">
          <xlrd:rvb i="487"/>
        </ext>
      </extLst>
    </bk>
    <bk>
      <extLst>
        <ext uri="{3e2802c4-a4d2-4d8b-9148-e3be6c30e623}">
          <xlrd:rvb i="490"/>
        </ext>
      </extLst>
    </bk>
    <bk>
      <extLst>
        <ext uri="{3e2802c4-a4d2-4d8b-9148-e3be6c30e623}">
          <xlrd:rvb i="493"/>
        </ext>
      </extLst>
    </bk>
    <bk>
      <extLst>
        <ext uri="{3e2802c4-a4d2-4d8b-9148-e3be6c30e623}">
          <xlrd:rvb i="496"/>
        </ext>
      </extLst>
    </bk>
    <bk>
      <extLst>
        <ext uri="{3e2802c4-a4d2-4d8b-9148-e3be6c30e623}">
          <xlrd:rvb i="499"/>
        </ext>
      </extLst>
    </bk>
    <bk>
      <extLst>
        <ext uri="{3e2802c4-a4d2-4d8b-9148-e3be6c30e623}">
          <xlrd:rvb i="502"/>
        </ext>
      </extLst>
    </bk>
    <bk>
      <extLst>
        <ext uri="{3e2802c4-a4d2-4d8b-9148-e3be6c30e623}">
          <xlrd:rvb i="505"/>
        </ext>
      </extLst>
    </bk>
    <bk>
      <extLst>
        <ext uri="{3e2802c4-a4d2-4d8b-9148-e3be6c30e623}">
          <xlrd:rvb i="508"/>
        </ext>
      </extLst>
    </bk>
    <bk>
      <extLst>
        <ext uri="{3e2802c4-a4d2-4d8b-9148-e3be6c30e623}">
          <xlrd:rvb i="514"/>
        </ext>
      </extLst>
    </bk>
    <bk>
      <extLst>
        <ext uri="{3e2802c4-a4d2-4d8b-9148-e3be6c30e623}">
          <xlrd:rvb i="517"/>
        </ext>
      </extLst>
    </bk>
    <bk>
      <extLst>
        <ext uri="{3e2802c4-a4d2-4d8b-9148-e3be6c30e623}">
          <xlrd:rvb i="520"/>
        </ext>
      </extLst>
    </bk>
    <bk>
      <extLst>
        <ext uri="{3e2802c4-a4d2-4d8b-9148-e3be6c30e623}">
          <xlrd:rvb i="523"/>
        </ext>
      </extLst>
    </bk>
    <bk>
      <extLst>
        <ext uri="{3e2802c4-a4d2-4d8b-9148-e3be6c30e623}">
          <xlrd:rvb i="526"/>
        </ext>
      </extLst>
    </bk>
    <bk>
      <extLst>
        <ext uri="{3e2802c4-a4d2-4d8b-9148-e3be6c30e623}">
          <xlrd:rvb i="529"/>
        </ext>
      </extLst>
    </bk>
    <bk>
      <extLst>
        <ext uri="{3e2802c4-a4d2-4d8b-9148-e3be6c30e623}">
          <xlrd:rvb i="535"/>
        </ext>
      </extLst>
    </bk>
    <bk>
      <extLst>
        <ext uri="{3e2802c4-a4d2-4d8b-9148-e3be6c30e623}">
          <xlrd:rvb i="538"/>
        </ext>
      </extLst>
    </bk>
    <bk>
      <extLst>
        <ext uri="{3e2802c4-a4d2-4d8b-9148-e3be6c30e623}">
          <xlrd:rvb i="541"/>
        </ext>
      </extLst>
    </bk>
    <bk>
      <extLst>
        <ext uri="{3e2802c4-a4d2-4d8b-9148-e3be6c30e623}">
          <xlrd:rvb i="544"/>
        </ext>
      </extLst>
    </bk>
    <bk>
      <extLst>
        <ext uri="{3e2802c4-a4d2-4d8b-9148-e3be6c30e623}">
          <xlrd:rvb i="547"/>
        </ext>
      </extLst>
    </bk>
    <bk>
      <extLst>
        <ext uri="{3e2802c4-a4d2-4d8b-9148-e3be6c30e623}">
          <xlrd:rvb i="550"/>
        </ext>
      </extLst>
    </bk>
    <bk>
      <extLst>
        <ext uri="{3e2802c4-a4d2-4d8b-9148-e3be6c30e623}">
          <xlrd:rvb i="553"/>
        </ext>
      </extLst>
    </bk>
    <bk>
      <extLst>
        <ext uri="{3e2802c4-a4d2-4d8b-9148-e3be6c30e623}">
          <xlrd:rvb i="556"/>
        </ext>
      </extLst>
    </bk>
    <bk>
      <extLst>
        <ext uri="{3e2802c4-a4d2-4d8b-9148-e3be6c30e623}">
          <xlrd:rvb i="559"/>
        </ext>
      </extLst>
    </bk>
    <bk>
      <extLst>
        <ext uri="{3e2802c4-a4d2-4d8b-9148-e3be6c30e623}">
          <xlrd:rvb i="562"/>
        </ext>
      </extLst>
    </bk>
    <bk>
      <extLst>
        <ext uri="{3e2802c4-a4d2-4d8b-9148-e3be6c30e623}">
          <xlrd:rvb i="565"/>
        </ext>
      </extLst>
    </bk>
    <bk>
      <extLst>
        <ext uri="{3e2802c4-a4d2-4d8b-9148-e3be6c30e623}">
          <xlrd:rvb i="568"/>
        </ext>
      </extLst>
    </bk>
    <bk>
      <extLst>
        <ext uri="{3e2802c4-a4d2-4d8b-9148-e3be6c30e623}">
          <xlrd:rvb i="571"/>
        </ext>
      </extLst>
    </bk>
    <bk>
      <extLst>
        <ext uri="{3e2802c4-a4d2-4d8b-9148-e3be6c30e623}">
          <xlrd:rvb i="574"/>
        </ext>
      </extLst>
    </bk>
    <bk>
      <extLst>
        <ext uri="{3e2802c4-a4d2-4d8b-9148-e3be6c30e623}">
          <xlrd:rvb i="577"/>
        </ext>
      </extLst>
    </bk>
    <bk>
      <extLst>
        <ext uri="{3e2802c4-a4d2-4d8b-9148-e3be6c30e623}">
          <xlrd:rvb i="580"/>
        </ext>
      </extLst>
    </bk>
    <bk>
      <extLst>
        <ext uri="{3e2802c4-a4d2-4d8b-9148-e3be6c30e623}">
          <xlrd:rvb i="583"/>
        </ext>
      </extLst>
    </bk>
    <bk>
      <extLst>
        <ext uri="{3e2802c4-a4d2-4d8b-9148-e3be6c30e623}">
          <xlrd:rvb i="586"/>
        </ext>
      </extLst>
    </bk>
    <bk>
      <extLst>
        <ext uri="{3e2802c4-a4d2-4d8b-9148-e3be6c30e623}">
          <xlrd:rvb i="589"/>
        </ext>
      </extLst>
    </bk>
    <bk>
      <extLst>
        <ext uri="{3e2802c4-a4d2-4d8b-9148-e3be6c30e623}">
          <xlrd:rvb i="592"/>
        </ext>
      </extLst>
    </bk>
    <bk>
      <extLst>
        <ext uri="{3e2802c4-a4d2-4d8b-9148-e3be6c30e623}">
          <xlrd:rvb i="595"/>
        </ext>
      </extLst>
    </bk>
    <bk>
      <extLst>
        <ext uri="{3e2802c4-a4d2-4d8b-9148-e3be6c30e623}">
          <xlrd:rvb i="598"/>
        </ext>
      </extLst>
    </bk>
    <bk>
      <extLst>
        <ext uri="{3e2802c4-a4d2-4d8b-9148-e3be6c30e623}">
          <xlrd:rvb i="601"/>
        </ext>
      </extLst>
    </bk>
    <bk>
      <extLst>
        <ext uri="{3e2802c4-a4d2-4d8b-9148-e3be6c30e623}">
          <xlrd:rvb i="604"/>
        </ext>
      </extLst>
    </bk>
    <bk>
      <extLst>
        <ext uri="{3e2802c4-a4d2-4d8b-9148-e3be6c30e623}">
          <xlrd:rvb i="607"/>
        </ext>
      </extLst>
    </bk>
    <bk>
      <extLst>
        <ext uri="{3e2802c4-a4d2-4d8b-9148-e3be6c30e623}">
          <xlrd:rvb i="610"/>
        </ext>
      </extLst>
    </bk>
    <bk>
      <extLst>
        <ext uri="{3e2802c4-a4d2-4d8b-9148-e3be6c30e623}">
          <xlrd:rvb i="613"/>
        </ext>
      </extLst>
    </bk>
    <bk>
      <extLst>
        <ext uri="{3e2802c4-a4d2-4d8b-9148-e3be6c30e623}">
          <xlrd:rvb i="616"/>
        </ext>
      </extLst>
    </bk>
    <bk>
      <extLst>
        <ext uri="{3e2802c4-a4d2-4d8b-9148-e3be6c30e623}">
          <xlrd:rvb i="619"/>
        </ext>
      </extLst>
    </bk>
    <bk>
      <extLst>
        <ext uri="{3e2802c4-a4d2-4d8b-9148-e3be6c30e623}">
          <xlrd:rvb i="622"/>
        </ext>
      </extLst>
    </bk>
    <bk>
      <extLst>
        <ext uri="{3e2802c4-a4d2-4d8b-9148-e3be6c30e623}">
          <xlrd:rvb i="625"/>
        </ext>
      </extLst>
    </bk>
    <bk>
      <extLst>
        <ext uri="{3e2802c4-a4d2-4d8b-9148-e3be6c30e623}">
          <xlrd:rvb i="631"/>
        </ext>
      </extLst>
    </bk>
    <bk>
      <extLst>
        <ext uri="{3e2802c4-a4d2-4d8b-9148-e3be6c30e623}">
          <xlrd:rvb i="634"/>
        </ext>
      </extLst>
    </bk>
  </futureMetadata>
  <futureMetadata name="XLDAPR" count="1">
    <bk>
      <extLst>
        <ext uri="{bdbb8cdc-fa1e-496e-a857-3c3f30c029c3}">
          <xda:dynamicArrayProperties fDynamic="1" fCollapsed="0"/>
        </ext>
      </extLst>
    </bk>
  </futureMetadata>
  <cellMetadata count="1">
    <bk>
      <rc t="2" v="0"/>
    </bk>
  </cellMetadata>
  <valueMetadata count="19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valueMetadata>
</metadata>
</file>

<file path=xl/sharedStrings.xml><?xml version="1.0" encoding="utf-8"?>
<sst xmlns="http://schemas.openxmlformats.org/spreadsheetml/2006/main" count="741" uniqueCount="226">
  <si>
    <t>EPS</t>
  </si>
  <si>
    <t>PE</t>
  </si>
  <si>
    <t>IND. PE</t>
  </si>
  <si>
    <t>BOOK VAL</t>
  </si>
  <si>
    <t>FACE VAL</t>
  </si>
  <si>
    <t>FUNDAMENTAL STRONG</t>
  </si>
  <si>
    <t>YES</t>
  </si>
  <si>
    <t>SHARE HOLDING</t>
  </si>
  <si>
    <t>GOOD</t>
  </si>
  <si>
    <t>HDFCLIFE</t>
  </si>
  <si>
    <t>INSURANCE</t>
  </si>
  <si>
    <t>CIPLA</t>
  </si>
  <si>
    <t>SUNPHARMA</t>
  </si>
  <si>
    <t>PHARMA</t>
  </si>
  <si>
    <t>OPM %</t>
  </si>
  <si>
    <t>TATACONSUM</t>
  </si>
  <si>
    <t>CGAR %</t>
  </si>
  <si>
    <t>FMCG</t>
  </si>
  <si>
    <t>PROPERTIES</t>
  </si>
  <si>
    <t>GODREJPROP</t>
  </si>
  <si>
    <t>LT</t>
  </si>
  <si>
    <t>DIVIDEND %</t>
  </si>
  <si>
    <t>IT</t>
  </si>
  <si>
    <t>SECTOR</t>
  </si>
  <si>
    <t>TICKER</t>
  </si>
  <si>
    <t>PRICE</t>
  </si>
  <si>
    <t>SUGGESTED BY</t>
  </si>
  <si>
    <t>STEEL</t>
  </si>
  <si>
    <t>SHARE BEGINNER</t>
  </si>
  <si>
    <t>VDAN</t>
  </si>
  <si>
    <t>TAMIL TRADERS ZONE</t>
  </si>
  <si>
    <t>DATE</t>
  </si>
  <si>
    <t>HCG</t>
  </si>
  <si>
    <t>HEALTHCARE</t>
  </si>
  <si>
    <t>INDIAN INVESTOR</t>
  </si>
  <si>
    <t xml:space="preserve"> </t>
  </si>
  <si>
    <t>BUY NOW AROUND  220-215, BUY AT DIPS , TP 300-500</t>
  </si>
  <si>
    <t>DEFENCE</t>
  </si>
  <si>
    <t>BEL</t>
  </si>
  <si>
    <t>BUY NOW 195-200</t>
  </si>
  <si>
    <t>EV</t>
  </si>
  <si>
    <t>TATAMOTORS</t>
  </si>
  <si>
    <t>M&amp;M</t>
  </si>
  <si>
    <t>LONG TERM GOOD</t>
  </si>
  <si>
    <t>ASHOKLEY</t>
  </si>
  <si>
    <t>EXIDEIND</t>
  </si>
  <si>
    <t>TAXTAPOWER</t>
  </si>
  <si>
    <t>JBMA</t>
  </si>
  <si>
    <t>ITC</t>
  </si>
  <si>
    <t>NO SHAREHOLDER</t>
  </si>
  <si>
    <t>STRONG</t>
  </si>
  <si>
    <t>GODREJCP</t>
  </si>
  <si>
    <t>HINDUNILVR</t>
  </si>
  <si>
    <t>DABUR</t>
  </si>
  <si>
    <t>NESTLEIND</t>
  </si>
  <si>
    <t>RELIANCE</t>
  </si>
  <si>
    <t>DMART</t>
  </si>
  <si>
    <t>VMART</t>
  </si>
  <si>
    <t>SHOPERSTOP</t>
  </si>
  <si>
    <t>SBIN</t>
  </si>
  <si>
    <t>IDBI</t>
  </si>
  <si>
    <t>MEDIUM</t>
  </si>
  <si>
    <t>BANKBARODA</t>
  </si>
  <si>
    <t>PNB</t>
  </si>
  <si>
    <t>IOB</t>
  </si>
  <si>
    <t>ICICI</t>
  </si>
  <si>
    <t>KOTAKBANK</t>
  </si>
  <si>
    <t>BAJAJFINSV</t>
  </si>
  <si>
    <t>TATAPOWER</t>
  </si>
  <si>
    <t>JSWENERGY</t>
  </si>
  <si>
    <t>BORORENEW</t>
  </si>
  <si>
    <t>PRAJIND</t>
  </si>
  <si>
    <t>ADANIPOWER</t>
  </si>
  <si>
    <t>BAJAJ-AUTO</t>
  </si>
  <si>
    <t>TVSMOTOR</t>
  </si>
  <si>
    <t>TATACHEM</t>
  </si>
  <si>
    <t>AMARAJABAT</t>
  </si>
  <si>
    <t>TATAELXSI</t>
  </si>
  <si>
    <t>KPITTECH</t>
  </si>
  <si>
    <t>DIVISLAB</t>
  </si>
  <si>
    <t>DRREDDY</t>
  </si>
  <si>
    <t>AARTIDRUGS</t>
  </si>
  <si>
    <t>LALPATHLAB</t>
  </si>
  <si>
    <t>GLAND</t>
  </si>
  <si>
    <t>SBILIFE</t>
  </si>
  <si>
    <t>ICICIPRULI</t>
  </si>
  <si>
    <t>ICICIGI</t>
  </si>
  <si>
    <t>SWASTIVI</t>
  </si>
  <si>
    <t>SVARTCORP</t>
  </si>
  <si>
    <t>MICEL-BE</t>
  </si>
  <si>
    <t>WEAK</t>
  </si>
  <si>
    <t>SUNDARAM-BE</t>
  </si>
  <si>
    <t>UNITECH-BZ</t>
  </si>
  <si>
    <t>GTLINFRA-BE</t>
  </si>
  <si>
    <t>PALCO METAL</t>
  </si>
  <si>
    <t>SINTEX-BE</t>
  </si>
  <si>
    <t>HALDYNGL</t>
  </si>
  <si>
    <t>AQFINTECH</t>
  </si>
  <si>
    <t>PTL</t>
  </si>
  <si>
    <t>ASAL-BE</t>
  </si>
  <si>
    <t>NELCO-BE</t>
  </si>
  <si>
    <t>Stocks</t>
  </si>
  <si>
    <t>Price</t>
  </si>
  <si>
    <t>Industry</t>
  </si>
  <si>
    <t>Change %</t>
  </si>
  <si>
    <t>Fair Price</t>
  </si>
  <si>
    <t>2000-2430</t>
  </si>
  <si>
    <t>2300-2900</t>
  </si>
  <si>
    <t>83-116</t>
  </si>
  <si>
    <t>370-493</t>
  </si>
  <si>
    <t>BUY/SELL</t>
  </si>
  <si>
    <t>16-32</t>
  </si>
  <si>
    <t>587-734</t>
  </si>
  <si>
    <t>649-812</t>
  </si>
  <si>
    <t>10-20</t>
  </si>
  <si>
    <t>190-381</t>
  </si>
  <si>
    <t>BOUGHT</t>
  </si>
  <si>
    <t>QTY</t>
  </si>
  <si>
    <t>1275-1700</t>
  </si>
  <si>
    <t>698-873</t>
  </si>
  <si>
    <t>28-35</t>
  </si>
  <si>
    <t>88-176</t>
  </si>
  <si>
    <t>119-159</t>
  </si>
  <si>
    <t>940-1253</t>
  </si>
  <si>
    <t>1724-2299</t>
  </si>
  <si>
    <t>2032-2710</t>
  </si>
  <si>
    <t>3835-5114</t>
  </si>
  <si>
    <t>1896-2492</t>
  </si>
  <si>
    <t>1930-2573</t>
  </si>
  <si>
    <t>3567-4756</t>
  </si>
  <si>
    <t>2021-2830</t>
  </si>
  <si>
    <t>1123-1497</t>
  </si>
  <si>
    <t>180-224</t>
  </si>
  <si>
    <t>369-516</t>
  </si>
  <si>
    <t>300-399</t>
  </si>
  <si>
    <t>192-383</t>
  </si>
  <si>
    <t>1218-1523</t>
  </si>
  <si>
    <t>108-135</t>
  </si>
  <si>
    <t>3163-3954</t>
  </si>
  <si>
    <t>1026-1437</t>
  </si>
  <si>
    <t>706-882</t>
  </si>
  <si>
    <t>210-262</t>
  </si>
  <si>
    <t>1360-1700</t>
  </si>
  <si>
    <t>1507-2009</t>
  </si>
  <si>
    <t>2060-2747</t>
  </si>
  <si>
    <t>530-743</t>
  </si>
  <si>
    <t>92-185</t>
  </si>
  <si>
    <t>2083-2777</t>
  </si>
  <si>
    <t>1247-1746</t>
  </si>
  <si>
    <t>3640-5096</t>
  </si>
  <si>
    <t>242-303</t>
  </si>
  <si>
    <t>S.No</t>
  </si>
  <si>
    <t>8915-11144</t>
  </si>
  <si>
    <t>1299-1732</t>
  </si>
  <si>
    <t>733-978</t>
  </si>
  <si>
    <t>1741-2177</t>
  </si>
  <si>
    <t>287-359</t>
  </si>
  <si>
    <t>734-978</t>
  </si>
  <si>
    <t>275-367</t>
  </si>
  <si>
    <t>135-169</t>
  </si>
  <si>
    <t>1-2</t>
  </si>
  <si>
    <t>577-808</t>
  </si>
  <si>
    <t>2462-3283</t>
  </si>
  <si>
    <t>1891-2364</t>
  </si>
  <si>
    <t>445-623</t>
  </si>
  <si>
    <t>7624-10673</t>
  </si>
  <si>
    <t>165-207</t>
  </si>
  <si>
    <t>1737-2432</t>
  </si>
  <si>
    <t>2614-3487</t>
  </si>
  <si>
    <t>3647-4862</t>
  </si>
  <si>
    <t>104-130</t>
  </si>
  <si>
    <t>357-714</t>
  </si>
  <si>
    <t>389-487</t>
  </si>
  <si>
    <t>2-5</t>
  </si>
  <si>
    <t>122-152</t>
  </si>
  <si>
    <t>935-1168</t>
  </si>
  <si>
    <t>450-629</t>
  </si>
  <si>
    <t>33-65</t>
  </si>
  <si>
    <t>127-158</t>
  </si>
  <si>
    <t>367-513</t>
  </si>
  <si>
    <t>21-42</t>
  </si>
  <si>
    <t>198-396</t>
  </si>
  <si>
    <t>662-927</t>
  </si>
  <si>
    <t>740-987</t>
  </si>
  <si>
    <t>321-428</t>
  </si>
  <si>
    <t>132-166</t>
  </si>
  <si>
    <t>662-827</t>
  </si>
  <si>
    <t>864-1152</t>
  </si>
  <si>
    <t>2377-3169</t>
  </si>
  <si>
    <t>Face Value</t>
  </si>
  <si>
    <t>Book Value</t>
  </si>
  <si>
    <t>Dividend %</t>
  </si>
  <si>
    <t>to</t>
  </si>
  <si>
    <t>650-867</t>
  </si>
  <si>
    <t>TO</t>
  </si>
  <si>
    <t>1620-2160</t>
  </si>
  <si>
    <t>2299-3066</t>
  </si>
  <si>
    <t>1103-1471</t>
  </si>
  <si>
    <t>327-436</t>
  </si>
  <si>
    <t>518-725</t>
  </si>
  <si>
    <t>234-328</t>
  </si>
  <si>
    <t>732-976</t>
  </si>
  <si>
    <t>337-472</t>
  </si>
  <si>
    <t>2704-3785</t>
  </si>
  <si>
    <t>3174-3968</t>
  </si>
  <si>
    <t>3820-4775</t>
  </si>
  <si>
    <t>1144-1602</t>
  </si>
  <si>
    <t>320-400</t>
  </si>
  <si>
    <t>548-731</t>
  </si>
  <si>
    <t>461-646</t>
  </si>
  <si>
    <t>423-528</t>
  </si>
  <si>
    <t>209-293</t>
  </si>
  <si>
    <t>155-217</t>
  </si>
  <si>
    <t>276-345</t>
  </si>
  <si>
    <t>904-1206</t>
  </si>
  <si>
    <t>718-1005</t>
  </si>
  <si>
    <t>317-422</t>
  </si>
  <si>
    <t>953-1270</t>
  </si>
  <si>
    <t>862-1150</t>
  </si>
  <si>
    <t>991-1387</t>
  </si>
  <si>
    <t>725-906</t>
  </si>
  <si>
    <t>922-1291</t>
  </si>
  <si>
    <t>532-745</t>
  </si>
  <si>
    <t>921-1152</t>
  </si>
  <si>
    <t>342-479</t>
  </si>
  <si>
    <t>3367-4714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</si>
</sst>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5" formatCode="_ [$₹-4009]\ * #,##0.00_ ;_ [$₹-4009]\ * \-#,##0.00_ ;_ [$₹-4009]\ * &quot;-&quot;??_ ;_ @_ "/>
  </numFmts>
  <fonts count="6"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1"/>
      <color rgb="FF00B050"/>
      <name val="Calibri"/>
      <family val="2"/>
      <scheme val="minor"/>
    </font>
    <font>
      <sz val="1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23">
    <xf numFmtId="0" fontId="0" fillId="0" borderId="0" xfId="0"/>
    <xf numFmtId="9"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14" fontId="0" fillId="0" borderId="0" xfId="0" applyNumberFormat="1"/>
    <xf numFmtId="165" fontId="0" fillId="0" borderId="0" xfId="0" applyNumberFormat="1"/>
    <xf numFmtId="10" fontId="0" fillId="0" borderId="0" xfId="0" applyNumberFormat="1"/>
    <xf numFmtId="4" fontId="0" fillId="0" borderId="0" xfId="0" applyNumberFormat="1"/>
    <xf numFmtId="44" fontId="0" fillId="0" borderId="0" xfId="0" applyNumberFormat="1"/>
    <xf numFmtId="0" fontId="0" fillId="0" borderId="0" xfId="0" applyNumberFormat="1"/>
    <xf numFmtId="49" fontId="0" fillId="0" borderId="0" xfId="0" applyNumberFormat="1"/>
    <xf numFmtId="165" fontId="4" fillId="0" borderId="0" xfId="0" applyNumberFormat="1" applyFont="1"/>
    <xf numFmtId="44" fontId="5" fillId="0" borderId="0" xfId="0" applyNumberFormat="1" applyFont="1"/>
    <xf numFmtId="0" fontId="2" fillId="0" borderId="0" xfId="0" applyFont="1"/>
    <xf numFmtId="49" fontId="2" fillId="0" borderId="0" xfId="0" applyNumberFormat="1" applyFont="1"/>
    <xf numFmtId="44" fontId="2" fillId="0" borderId="0" xfId="0" applyNumberFormat="1" applyFont="1"/>
    <xf numFmtId="0" fontId="2" fillId="0" borderId="0" xfId="0" applyNumberFormat="1" applyFont="1"/>
    <xf numFmtId="0" fontId="5" fillId="0" borderId="0" xfId="0" applyNumberFormat="1" applyFont="1"/>
    <xf numFmtId="0" fontId="0" fillId="0" borderId="0" xfId="0" applyProtection="1">
      <protection locked="0"/>
    </xf>
    <xf numFmtId="165" fontId="2" fillId="0" borderId="0" xfId="0" applyNumberFormat="1" applyFont="1"/>
    <xf numFmtId="165" fontId="1" fillId="0" borderId="0" xfId="0" applyNumberFormat="1" applyFont="1"/>
  </cellXfs>
  <cellStyles count="1">
    <cellStyle name="Normal" xfId="0" builtinId="0"/>
  </cellStyles>
  <dxfs count="4">
    <dxf>
      <font>
        <color rgb="FF9C0006"/>
      </font>
      <fill>
        <patternFill>
          <bgColor rgb="FFFFC7CE"/>
        </patternFill>
      </fill>
    </dxf>
    <dxf>
      <font>
        <color rgb="FF9C0006"/>
      </font>
    </dxf>
    <dxf>
      <font>
        <b/>
        <i val="0"/>
        <strike val="0"/>
      </font>
      <fill>
        <patternFill>
          <bgColor theme="9"/>
        </patternFill>
      </fill>
    </dxf>
    <dxf>
      <font>
        <b val="0"/>
        <i/>
      </font>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tyles" Target="style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35">
  <rv s="0">
    <v>https://www.bing.com/financeapi/forcetrigger?t=ahi7p2&amp;q=XNSE%3aHUDCO&amp;form=skydnc</v>
    <v>Learn more on Bing</v>
  </rv>
  <rv s="1">
    <v>en-IN</v>
    <v>ahi7p2</v>
    <v>268435456</v>
    <v>1</v>
    <v>Powered by Refinitiv</v>
    <v>0</v>
    <v>HOUSING AND URBAN DEVELOPMENT CORPORATION LIMITED (XNSE:HUDCO)</v>
    <v>2</v>
    <v>3</v>
    <v>Finance</v>
    <v>4</v>
    <v>58.25</v>
    <v>30.6</v>
    <v>1.5982000000000001</v>
    <v>0.1</v>
    <v>2.833E-3</v>
    <v>INR</v>
    <v>Housing And Urban Development Corporation Limited is a techno-financing company. The Company is engaged in housing and infrastructure project finance (including retail lending) and providing consultancy services. It conducts capacity building program, workshops, seminars for government officials both (National and International). Its housing finance loans are classified into social housing, residential real estate, health center, playgrounds, police stations, courts, jails, crematorium and retail finance. Its urban infrastructure finance, loans are sanctioned for projects relating to water supply, sewerage, drainage, solid waste management, roads, electricity, smart cities, and industrial infrastructure in the urban areas. It provides consultancy services in the areas of architectural design and development; urban and regional planning; appraisal scrutiny and monitoring of government projects and environmental engineering for the housing and urban development sector.</v>
    <v>753</v>
    <v>National Stock Exchange of India</v>
    <v>XNSE</v>
    <v>XNSE</v>
    <v>HUDCO Bhawan, Core-7-A,, India Habitat Centre, Lodhi Road,, NEW DELHI, DELHI, 110003 IN</v>
    <v>35.65</v>
    <v>Banking Services</v>
    <v>Stock</v>
    <v>44642.471875000003</v>
    <v>0</v>
    <v>35.15</v>
    <v>70667070000</v>
    <v>HOUSING AND URBAN DEVELOPMENT CORPORATION LIMITED</v>
    <v>HOUSING AND URBAN DEVELOPMENT CORPORATION LIMITED</v>
    <v>35.450000000000003</v>
    <v>4.7300000000000004</v>
    <v>35.299999999999997</v>
    <v>35.4</v>
    <v>2001900000</v>
    <v>HUDCO</v>
    <v>HOUSING AND URBAN DEVELOPMENT CORPORATION LIMITED (XNSE:HUDCO)</v>
    <v>1321105</v>
    <v>1225750</v>
    <v>1970</v>
  </rv>
  <rv s="2">
    <v>1</v>
  </rv>
  <rv s="0">
    <v>https://www.bing.com/financeapi/forcetrigger?t=bxjznm&amp;q=XNSE%3aIRFC&amp;form=skydnc</v>
    <v>Learn more on Bing</v>
  </rv>
  <rv s="3">
    <v>en-IN</v>
    <v>bxjznm</v>
    <v>268435456</v>
    <v>1</v>
    <v>Powered by Refinitiv</v>
    <v>5</v>
    <v>INDIAN RAILWAY FINANCE CORPORATION LIMITED (XNSE:IRFC)</v>
    <v>2</v>
    <v>6</v>
    <v>Finance</v>
    <v>4</v>
    <v>26.45</v>
    <v>20.8</v>
    <v>-0.3</v>
    <v>-1.3245E-2</v>
    <v>INR</v>
    <v>Indian Railway Finance Corporation Limited is an India-based financing arm of the Indian Railways. The Company operates through the Leasing and Finance segment. It focuses on leasing, lending and borrowing operations. The Company's primary business is financial leasing of rolling stock assets, which includes both powered and unpowered vehicles, such as coaches, wagons, trucks, flats, electric multiple units, containers, cranes, trollies of all kinds, and other items of rolling stock components. It is engaged in leasing of railway infrastructure assets and national projects of the Government of India and lending to other entities under the Ministry of Railways (MoR). It is engaged in funding railway projects and capacity enhancement works. It is mainly targeting projects for the decongestion and expansion of the existing railway network. It is also a lender for other entities in the railway sector, including Konkan Railway Corporation Limited (KRCL), IRCON and Railtel, among others.</v>
    <v>29</v>
    <v>National Stock Exchange of India</v>
    <v>XNSE</v>
    <v>XNSE</v>
    <v>U G Floor,, East Tower NBCC Place, Bhisham Pitamah Marg, Lodhi Road, NEW DELHI, DELHI, 110003 IN</v>
    <v>22.75</v>
    <v>Banking Services</v>
    <v>Stock</v>
    <v>44642.47152777778</v>
    <v>3</v>
    <v>22.2</v>
    <v>296001700000</v>
    <v>INDIAN RAILWAY FINANCE CORPORATION LIMITED</v>
    <v>INDIAN RAILWAY FINANCE CORPORATION LIMITED</v>
    <v>22.65</v>
    <v>4.42</v>
    <v>22.65</v>
    <v>22.35</v>
    <v>13068510000</v>
    <v>IRFC</v>
    <v>INDIAN RAILWAY FINANCE CORPORATION LIMITED (XNSE:IRFC)</v>
    <v>7366442</v>
    <v>7520130</v>
    <v>1986</v>
  </rv>
  <rv s="2">
    <v>4</v>
  </rv>
  <rv s="0">
    <v>https://www.bing.com/financeapi/forcetrigger?t=ahk9rw&amp;q=XNSE%3aTATAINVEST&amp;form=skydnc</v>
    <v>Learn more on Bing</v>
  </rv>
  <rv s="1">
    <v>en-IN</v>
    <v>ahk9rw</v>
    <v>268435456</v>
    <v>1</v>
    <v>Powered by Refinitiv</v>
    <v>0</v>
    <v>TATA INVESTMENT CORPORATION LIMITED (XNSE:TATAINVEST)</v>
    <v>2</v>
    <v>3</v>
    <v>Finance</v>
    <v>4</v>
    <v>1733.9</v>
    <v>980</v>
    <v>0.96740000000000004</v>
    <v>-3.35</v>
    <v>-2.4720000000000002E-3</v>
    <v>INR</v>
    <v>Tata Investment Corporation Limited is an investment company. The Company is engaged in the business of investment in listed and unlisted equity shares, debt instruments, and mutual funds companies in a wide range of industries. The Company invests in a portfolio of quoted and unquoted securities of companies, including Tata Companies, which are engaged in various businesses. Its primary sources of income consist of dividends, interest, and gains on the sale of long-term investments. The Company also invests in units of mutual funds, bonds, and venture capital funds. It invests in various sectors, such as banks, cement, chemicals and fertilizers, electricity engineering, construction, and infrastructure, finance, services, and investments, healthcare, hotels, information technology, and metals and mining. The Company’s subsidiaries include Simto Investment Company Limited, Tata Asset Management Limited, Tata Trustee Company Limited, and Amalgamated Plantations Private Limited.</v>
    <v>18406</v>
    <v>National Stock Exchange of India</v>
    <v>XNSE</v>
    <v>XNSE</v>
    <v>Elphinstone building, 10 Veer Nariman Road, MUMBAI, MAHARASHTRA, 400001 IN</v>
    <v>1365</v>
    <v>Investment Banking &amp; Investment Services</v>
    <v>Stock</v>
    <v>44642.471516203703</v>
    <v>6</v>
    <v>1337</v>
    <v>68556630000</v>
    <v>TATA INVESTMENT CORPORATION LIMITED</v>
    <v>TATA INVESTMENT CORPORATION LIMITED</v>
    <v>1356</v>
    <v>34.840000000000003</v>
    <v>1355</v>
    <v>1351.65</v>
    <v>50595300</v>
    <v>TATAINVEST</v>
    <v>TATA INVESTMENT CORPORATION LIMITED (XNSE:TATAINVEST)</v>
    <v>14212</v>
    <v>18430</v>
    <v>1937</v>
  </rv>
  <rv s="2">
    <v>7</v>
  </rv>
  <rv s="0">
    <v>https://www.bing.com/financeapi/forcetrigger?t=ahjzmw&amp;q=XNSE%3aSJVN&amp;form=skydnc</v>
    <v>Learn more on Bing</v>
  </rv>
  <rv s="1">
    <v>en-IN</v>
    <v>ahjzmw</v>
    <v>268435456</v>
    <v>1</v>
    <v>Powered by Refinitiv</v>
    <v>0</v>
    <v>SJVN Limited (XNSE:SJVN)</v>
    <v>2</v>
    <v>3</v>
    <v>Finance</v>
    <v>4</v>
    <v>33.75</v>
    <v>24.5</v>
    <v>0.45300000000000001</v>
    <v>-0.05</v>
    <v>-1.815E-3</v>
    <v>INR</v>
    <v>SJVN Limited is an India-based company, which is principally engaged in the generation of electricity. It is also engaged in the business of providing consultancy. It operates through the generation and sale of power segment. Its businesses include thermal power, hydro power, wind power, solar power, power transmission, consultancy and power trading. It has commissioned about seven projects totaling approximately 2016.5-megawatt (MW) of installed capacity and an 86-kilometer (KM), 400 kilovolt (KV) transmission line. It is engaged in establishment, operation and maintenance and transfer of Indian portion of Indo-Nepal cross border transmission line from Muzaffarpur to Dhalkebar. It is operating power projects in Himachal Pradesh, Uttarakhand, Bihar, Maharashtra, Uttar Pradesh, Punjab, Gujarat and Arunachal Pradesh in India besides neighboring countries of Nepal and Bhutan. Its subsidiaries include SJVN Thermal Private Limited and SJVN Arun-3 Power Development company Private Limited.</v>
    <v>1499</v>
    <v>National Stock Exchange of India</v>
    <v>XNSE</v>
    <v>XNSE</v>
    <v>Shakti Sadan, Corporate Office Complex, Shanan, SHIMLA, HIMACHAL PRADESH, 171006 IN</v>
    <v>27.75</v>
    <v>Electrical Utilities &amp; IPPs</v>
    <v>Stock</v>
    <v>44642.471851851849</v>
    <v>9</v>
    <v>27.35</v>
    <v>108265900000</v>
    <v>SJVN Limited</v>
    <v>SJVN Limited</v>
    <v>27.65</v>
    <v>6.77</v>
    <v>27.55</v>
    <v>27.5</v>
    <v>3929795000</v>
    <v>SJVN</v>
    <v>SJVN Limited (XNSE:SJVN)</v>
    <v>2792952</v>
    <v>2800370</v>
    <v>1988</v>
  </rv>
  <rv s="2">
    <v>10</v>
  </rv>
  <rv s="0">
    <v>https://www.bing.com/financeapi/forcetrigger?t=ahhcf2&amp;q=XNSE%3aCDSL&amp;form=skydnc</v>
    <v>Learn more on Bing</v>
  </rv>
  <rv s="1">
    <v>en-IN</v>
    <v>ahhcf2</v>
    <v>268435456</v>
    <v>1</v>
    <v>Powered by Refinitiv</v>
    <v>0</v>
    <v>CENTRAL DEPOSITORY SERVICES (INDIA) LIMITED (XNSE:CDSL)</v>
    <v>2</v>
    <v>3</v>
    <v>Finance</v>
    <v>4</v>
    <v>1734.4</v>
    <v>604.4</v>
    <v>0.77210000000000001</v>
    <v>-9.6</v>
    <v>-6.4329999999999995E-3</v>
    <v>INR</v>
    <v>Central Depository Services (India) Limited (CDSL) operates as a securities depository in India. The Company facilitates holding and transacting in securities in the electronic form and facilitates settlement of trades on stock exchanges. CDSL operates in three operating and reporting segment: Depository, Data entry and storage, and Repository. Depository Segment provides various services to the investors like dematerialization, rematerialization, holding, transfer and pledge of securities in electronic form and providing e-voting services to companies. Data Entry and Storage segment relates to centralized record keeping of know your customer (KYC) document of capital market investors. Repository segments main objective is to provide policyholders/warehouse receipts holder a facility to keep insurance policies/warehouse receipts in electronic form and to undertake changes and revisions in the policy. CDSL offers service for a range of clients, such as exchanges, issuers and investors.</v>
    <v>221</v>
    <v>National Stock Exchange of India</v>
    <v>XNSE</v>
    <v>XNSE</v>
    <v>17th Floor, Phiroze Jeejeebhoy Towers, Dalal Street, MUMBAI, MAHARASHTRA, 400001 IN</v>
    <v>1509.5</v>
    <v>Investment Banking &amp; Investment Services</v>
    <v>Stock</v>
    <v>44642.471875000003</v>
    <v>12</v>
    <v>1475</v>
    <v>155945300000</v>
    <v>CENTRAL DEPOSITORY SERVICES (INDIA) LIMITED</v>
    <v>CENTRAL DEPOSITORY SERVICES (INDIA) LIMITED</v>
    <v>1495</v>
    <v>54.68</v>
    <v>1492.3</v>
    <v>1482.7</v>
    <v>104500000</v>
    <v>CDSL</v>
    <v>CENTRAL DEPOSITORY SERVICES (INDIA) LIMITED (XNSE:CDSL)</v>
    <v>628151</v>
    <v>1761540</v>
    <v>1997</v>
  </rv>
  <rv s="2">
    <v>13</v>
  </rv>
  <rv s="0">
    <v>https://www.bing.com/financeapi/forcetrigger?t=ahk6fr&amp;q=XNSE%3aSUNTV&amp;form=skydnc</v>
    <v>Learn more on Bing</v>
  </rv>
  <rv s="1">
    <v>en-IN</v>
    <v>ahk6fr</v>
    <v>268435456</v>
    <v>1</v>
    <v>Powered by Refinitiv</v>
    <v>0</v>
    <v>SUN TV NETWORK LIMITED (XNSE:SUNTV)</v>
    <v>2</v>
    <v>3</v>
    <v>Finance</v>
    <v>4</v>
    <v>612</v>
    <v>425</v>
    <v>0.94930000000000003</v>
    <v>-6</v>
    <v>-1.2880000000000001E-2</v>
    <v>INR</v>
    <v>Sun TV Network Limited is an India-based television broadcaster. The Company operates through Media and Entertainment segment. It operates its satellite television (TV) channels across five languages. The Company operates television channels in four South Indian languages and also in Bangla to viewers in India, and also to viewers in Sri Lanka, Singapore, Malaysia, United Kingdom, Europe, Middle East, United States, Australia, South Africa and Canada. The Company’s channel is Sun TV. Its other satellite channels are Surya TV, Gemini TV, Udaya TV and Sun Bangla. The Company is also into the business of frequency modulation (FM) radio broadcasting at Chennai, Coimbatore and Tirunelveli. It produces its own content/acquires the related rights. It also has the license to operate an Indian Premier League franchise Sun Risers Hyderabad. The Company has license to operate over 24 Frequency Modulation (FM) stations in South India. It also operates an over-the-top (OTT) platform, SUNNXT.</v>
    <v>1188</v>
    <v>National Stock Exchange of India</v>
    <v>XNSE</v>
    <v>XNSE</v>
    <v>73,Murasoli Maran Towers, MRC Nagar Main Road, MRC Nagar, CHENNAI, TAMIL NADU, 600028 IN</v>
    <v>481.15</v>
    <v>Media &amp; Publishing</v>
    <v>Stock</v>
    <v>44642.471759259257</v>
    <v>15</v>
    <v>455</v>
    <v>183584300000</v>
    <v>SUN TV NETWORK LIMITED</v>
    <v>SUN TV NETWORK LIMITED</v>
    <v>469.95</v>
    <v>10.68</v>
    <v>465.85</v>
    <v>459.85</v>
    <v>394084600</v>
    <v>SUNTV</v>
    <v>SUN TV NETWORK LIMITED (XNSE:SUNTV)</v>
    <v>4455083</v>
    <v>1256670</v>
    <v>1985</v>
  </rv>
  <rv s="2">
    <v>16</v>
  </rv>
  <rv s="0">
    <v>https://www.bing.com/financeapi/forcetrigger?t=ahhr77&amp;q=XNSE%3aFEDERALBNK&amp;form=skydnc</v>
    <v>Learn more on Bing</v>
  </rv>
  <rv s="1">
    <v>en-IN</v>
    <v>ahhr77</v>
    <v>268435456</v>
    <v>1</v>
    <v>Powered by Refinitiv</v>
    <v>0</v>
    <v>THE FEDERAL BANK LTD (XNSE:FEDERALBNK)</v>
    <v>2</v>
    <v>3</v>
    <v>Finance</v>
    <v>4</v>
    <v>107.65</v>
    <v>70.2</v>
    <v>1.4529000000000001</v>
    <v>1.5</v>
    <v>1.5408E-2</v>
    <v>INR</v>
    <v>The Federal Bank Limited (the Bank) is a banking company. The Bank is engaged in providing banking and financial services, including retail banking, corporate banking and treasury operations. Its segments include Treasury, Corporate/Wholesale Banking and Retail Banking. Its Treasury segment operations include trading and investments in government securities and corporate debt instruments, equity and mutual funds, derivatives, and foreign exchange operations on proprietary account and for customers. Its Corporate/ Wholesale Banking segment consists of lending of funds, acceptance of deposits and other banking services to corporates, trusts, partnership firms and statutory bodies. Its Retail banking segment constitutes lending of funds, acceptance of deposits and other banking services to any legal person, including small business customers. The Bank has a network of 1272 branches in India. It also offers para banking activities, such as debit card and third-party product distribution.</v>
    <v>12592</v>
    <v>National Stock Exchange of India</v>
    <v>XNSE</v>
    <v>XNSE</v>
    <v>Federal Towers, Post Box No.103, ALUVA, KERALA, 683101 IN</v>
    <v>99.2</v>
    <v>Banking Services</v>
    <v>Stock</v>
    <v>44642.471504629626</v>
    <v>18</v>
    <v>96.5</v>
    <v>204683000000</v>
    <v>THE FEDERAL BANK LTD</v>
    <v>THE FEDERAL BANK LTD</v>
    <v>97.5</v>
    <v>10.45</v>
    <v>97.35</v>
    <v>98.85</v>
    <v>2102547000</v>
    <v>FEDERALBNK</v>
    <v>THE FEDERAL BANK LTD (XNSE:FEDERALBNK)</v>
    <v>11871146</v>
    <v>19882040</v>
    <v>1931</v>
  </rv>
  <rv s="2">
    <v>19</v>
  </rv>
  <rv s="0">
    <v>https://www.bing.com/financeapi/forcetrigger?t=ahh3im&amp;q=XNSE%3aBAJFINANCE&amp;form=skydnc</v>
    <v>Learn more on Bing</v>
  </rv>
  <rv s="1">
    <v>en-IN</v>
    <v>ahh3im</v>
    <v>268435456</v>
    <v>1</v>
    <v>Powered by Refinitiv</v>
    <v>0</v>
    <v>BAJAJ FINANCE LIMITED (XNSE:BAJFINANCE)</v>
    <v>2</v>
    <v>3</v>
    <v>Finance</v>
    <v>4</v>
    <v>8050</v>
    <v>4362</v>
    <v>1.7782</v>
    <v>115.4</v>
    <v>1.6796999999999999E-2</v>
    <v>INR</v>
    <v>Bajaj Finance Limited is an India-based non-banking financial company. The Company’s consumer lending products include consumer electronics, furniture, digital products, e-commerce purchases and daily spends financing. Its small and medium enterprises (SME) lending consist of working capital loans and term facilities to SME, and professionals. The Company’s rural lending offers all its lending and deposits products, which include consumer business-to-business (B2B) lending, personal loans, gold loans, and retail deposits in small towns and villages. Its loan against securities business offers medium-term and short-term financing against shares, bonds, mutual funds, insurance policies and deposits to customer. Its mortgages offer home loans, loans against property and developer finance. Its commercial lending is engaged in lending to auto component manufacturers and the light engineering industry, loans to financial institutions, loans to the specialty chemical and pharma industry.</v>
    <v>28546</v>
    <v>National Stock Exchange of India</v>
    <v>XNSE</v>
    <v>XNSE</v>
    <v>4th Floor, Bajaj Finserv Corporate Office,, Off Pune-Ahmednagar Road,, Viman Nagar,, PUNE, MAHARASHTRA, 411014 IN</v>
    <v>7010</v>
    <v>Banking Services</v>
    <v>Stock</v>
    <v>44642.471493055556</v>
    <v>21</v>
    <v>6767</v>
    <v>4168048000000</v>
    <v>BAJAJ FINANCE LIMITED</v>
    <v>BAJAJ FINANCE LIMITED</v>
    <v>6870</v>
    <v>69.47</v>
    <v>6870.4</v>
    <v>6985.8</v>
    <v>606667500</v>
    <v>BAJFINANCE</v>
    <v>BAJAJ FINANCE LIMITED (XNSE:BAJFINANCE)</v>
    <v>1273796</v>
    <v>1837820</v>
    <v>1987</v>
  </rv>
  <rv s="2">
    <v>22</v>
  </rv>
  <rv s="0">
    <v>https://www.bing.com/financeapi/forcetrigger?t=ahjpoc&amp;q=XNSE%3aNAM-INDIA&amp;form=skydnc</v>
    <v>Learn more on Bing</v>
  </rv>
  <rv s="1">
    <v>en-IN</v>
    <v>ahjpoc</v>
    <v>268435456</v>
    <v>1</v>
    <v>Powered by Refinitiv</v>
    <v>0</v>
    <v>NIPPON LIFE INDIA ASSET MANAGEMENT LIMITED (XNSE:NAM-INDIA)</v>
    <v>2</v>
    <v>3</v>
    <v>Finance</v>
    <v>4</v>
    <v>476.45</v>
    <v>283.8</v>
    <v>0.95850000000000002</v>
    <v>-2</v>
    <v>-5.9379999999999997E-3</v>
    <v>INR</v>
    <v>Nippon Life India Asset Management Limited is an India-based asset management company. The Company’s principal activity is to act as an investment manager to Nippon India Mutual Fund. The Company is involved in managing mutual funds, such as exchange traded funds (ETFs); managed accounts, including portfolio management services, alternative investment funds and pension funds, and offshore funds and advisory mandates. Its subsidiaries include Nippon Life India Asset Management (Singapore) Pte. Ltd., Nippon Life India Asset Management (Mauritius) Ltd and Nippon Life India AIF Management Limited.</v>
    <v>991</v>
    <v>National Stock Exchange of India</v>
    <v>XNSE</v>
    <v>XNSE</v>
    <v>4th Floor, Tower A, Peninsula Business Park, Ganapatrao Kadam Marg, Lower Parel (W), MUMBAI, MAHARASHTRA, 400013 IN</v>
    <v>338.6</v>
    <v>Investment Banking &amp; Investment Services</v>
    <v>Stock</v>
    <v>44642.471493055556</v>
    <v>24</v>
    <v>330.1</v>
    <v>209495600000</v>
    <v>NIPPON LIFE INDIA ASSET MANAGEMENT LIMITED</v>
    <v>NIPPON LIFE INDIA ASSET MANAGEMENT LIMITED</v>
    <v>333.7</v>
    <v>28.34</v>
    <v>336.8</v>
    <v>334.8</v>
    <v>622017900</v>
    <v>NAM-INDIA</v>
    <v>NIPPON LIFE INDIA ASSET MANAGEMENT LIMITED (XNSE:NAM-INDIA)</v>
    <v>332315</v>
    <v>800600</v>
    <v>1995</v>
  </rv>
  <rv s="2">
    <v>25</v>
  </rv>
  <rv s="0">
    <v>https://www.bing.com/financeapi/forcetrigger?t=ahi65r&amp;q=XNSE%3aHINDZINC&amp;form=skydnc</v>
    <v>Learn more on Bing</v>
  </rv>
  <rv s="1">
    <v>en-IN</v>
    <v>ahi65r</v>
    <v>268435456</v>
    <v>1</v>
    <v>Powered by Refinitiv</v>
    <v>0</v>
    <v>HINDUSTAN ZINC LIMITED (XNSE:HINDZINC)</v>
    <v>2</v>
    <v>3</v>
    <v>Finance</v>
    <v>4</v>
    <v>408.6</v>
    <v>257</v>
    <v>0.57720000000000005</v>
    <v>1.6</v>
    <v>5.1380000000000002E-3</v>
    <v>INR</v>
    <v>Hindustan Zinc Limited is an India-based company, which is engaged in the mining and smelting of zinc, lead and silver metal in India. The Company operates through two segments: Zinc, Lead, Silver &amp; others, and Wind Energy. The Company’s operations include five zinc-lead mines, four zinc smelters, one lead smelter, one zinc lead smelter, eight sulphuric acid plants, one silver refinery plant, six captive thermal power plants and four captive solar plants in the state of Rajasthan. The Company also has a rock phosphate mine in Matoon, near Udaipur in Rajasthan and zinc, lead, silver processing and refining facilities in the state of Uttarakhand. The Company also has wind power plants in the states of Rajasthan, Gujarat, Karnataka, Tamil Nadu and Maharashtra and solar power plants in the state of Rajasthan.</v>
    <v>3719</v>
    <v>National Stock Exchange of India</v>
    <v>XNSE</v>
    <v>XNSE</v>
    <v>Yashad Bhawan, UDAIPUR, RAJASTHAN, 313004 IN</v>
    <v>315</v>
    <v>Metals &amp; Mining</v>
    <v>Stock</v>
    <v>44642.471516203703</v>
    <v>27</v>
    <v>311.45</v>
    <v>1315764000000</v>
    <v>HINDUSTAN ZINC LIMITED</v>
    <v>HINDUSTAN ZINC LIMITED</v>
    <v>313.25</v>
    <v>14.46</v>
    <v>311.39999999999998</v>
    <v>313</v>
    <v>4225319000</v>
    <v>HINDZINC</v>
    <v>HINDUSTAN ZINC LIMITED (XNSE:HINDZINC)</v>
    <v>1178316</v>
    <v>1990220</v>
    <v>1966</v>
  </rv>
  <rv s="2">
    <v>28</v>
  </rv>
  <rv s="0">
    <v>http://en.wikipedia.org/wiki/Public_domain</v>
    <v>Public domain</v>
  </rv>
  <rv s="0">
    <v>http://en.wikipedia.org/wiki/HDFC_Bank</v>
    <v>Wikipedia</v>
  </rv>
  <rv s="4">
    <v>30</v>
    <v>31</v>
  </rv>
  <rv s="5">
    <v>11</v>
    <v>https://www.bing.com/th?id=AMMS_c643fbc43e47b24065ddbb05b826221c&amp;qlt=95</v>
    <v>32</v>
    <v>0</v>
    <v>https://www.bing.com/images/search?form=xlimg&amp;q=hdfc+bank</v>
    <v>Image of HDFC BANK LIMITED</v>
  </rv>
  <rv s="0">
    <v>https://www.bing.com/financeapi/forcetrigger?t=ahi3jc&amp;q=XNSE%3aHDFCBANK&amp;form=skydnc</v>
    <v>Learn more on Bing</v>
  </rv>
  <rv s="6">
    <v>en-IN</v>
    <v>ahi3jc</v>
    <v>268435456</v>
    <v>1</v>
    <v>Powered by Refinitiv</v>
    <v>7</v>
    <v>HDFC BANK LIMITED (XNSE:HDFCBANK)</v>
    <v>9</v>
    <v>10</v>
    <v>Finance</v>
    <v>4</v>
    <v>1725</v>
    <v>1292</v>
    <v>1.0928</v>
    <v>7.65</v>
    <v>5.1459999999999995E-3</v>
    <v>INR</v>
    <v>HDFC Bank Limited (the Bank) is an India-based private sector bank. The Bank caters to a range of banking services covering commercial and investment banking on the wholesale side and transactional/ branch banking on the retail side. The Bank's Treasury segment primarily consists of net interest earnings from the Bank's investment portfolio, money market borrowing and lending, gains or losses on investment operations and on account of trading in foreign exchange and derivative contracts. The Retail Banking segment serves retail customers through the Bank's branch network and other channels. The Wholesale Banking segment provides loans, non-fund facilities and transaction services to large corporates, emerging corporates, public sector units, government bodies, financial institutions and medium scale enterprises. The Other Banking Operations segment includes income from Para banking activities, such as credit cards, debit cards and third-party product distribution, among others.</v>
    <v>134412</v>
    <v>National Stock Exchange of India</v>
    <v>XNSE</v>
    <v>XNSE</v>
    <v>iTHINK Techno Campus, Bldg B, Alpha,, Vikhroli Link Rd, Kanjur Marg East, MUMBAI, MAHARASHTRA, 400042 IN</v>
    <v>1498</v>
    <v>33</v>
    <v>Banking Services</v>
    <v>Stock</v>
    <v>44642.471516203703</v>
    <v>34</v>
    <v>1457.2</v>
    <v>8242126000000</v>
    <v>HDFC BANK LIMITED</v>
    <v>HDFC BANK LIMITED</v>
    <v>1481.3</v>
    <v>22.8</v>
    <v>1486.5</v>
    <v>1494.15</v>
    <v>5544652000</v>
    <v>HDFCBANK</v>
    <v>HDFC BANK LIMITED (XNSE:HDFCBANK)</v>
    <v>5230907</v>
    <v>10557880</v>
    <v>1994</v>
  </rv>
  <rv s="2">
    <v>35</v>
  </rv>
  <rv s="0">
    <v>https://www.bing.com/financeapi/forcetrigger?t=ahj6nm&amp;q=XNSE%3aNHPC&amp;form=skydnc</v>
    <v>Learn more on Bing</v>
  </rv>
  <rv s="1">
    <v>en-IN</v>
    <v>ahj6nm</v>
    <v>268435456</v>
    <v>1</v>
    <v>Powered by Refinitiv</v>
    <v>0</v>
    <v>NHPC Limited (XNSE:NHPC)</v>
    <v>2</v>
    <v>3</v>
    <v>Finance</v>
    <v>4</v>
    <v>37.049999999999997</v>
    <v>23.05</v>
    <v>0.47539999999999999</v>
    <v>-0.05</v>
    <v>-1.792E-3</v>
    <v>INR</v>
    <v>NHPC Limited is an India-based company that is primarily engaged in the generation of electricity. The Company is also focused on contracts, project management, consultancy works and power trading business. It has an installation base of approximately 7071.2 megawatts (MW) from over 24 power stations. The Company’s power stations project includes Baira Siul, Loktak, Salal, Tanakpur, Chamera - I, Uri - I, Rangit, Chamera - II, Indira Sagar, Dhauliganga, Dulhasti, Omkareshwar, Teesta - V, Sewa - II, Chamera-III, Teesta Low Dam - III, Nimmo-Bazgo, Chutak, Uri-II, Parbati - III, Teesta Low Dam - IV, Solar Power, Kishanganga and Jaisalmer. The Company is engaged in the construction of over nine projects aggregating to a total installed capacity of approximately 5999 MW. The Company’s consultancy services offer survey and investigation, planning, design and engineering, construction, operation and maintenance, renovation, modernization and updating of hydropower projects.</v>
    <v>5569</v>
    <v>National Stock Exchange of India</v>
    <v>XNSE</v>
    <v>XNSE</v>
    <v>NHPC Office Complex,, Sector 33., FARIDABAD, HARYANA, 121003 IN</v>
    <v>28.1</v>
    <v>Electrical Utilities &amp; IPPs</v>
    <v>Stock</v>
    <v>44642.471828703703</v>
    <v>37</v>
    <v>27.8</v>
    <v>280256500000</v>
    <v>NHPC Limited</v>
    <v>NHPC Limited</v>
    <v>28</v>
    <v>8.06</v>
    <v>27.9</v>
    <v>27.85</v>
    <v>10045040000</v>
    <v>NHPC</v>
    <v>NHPC Limited (XNSE:NHPC)</v>
    <v>2685177</v>
    <v>6725680</v>
    <v>1975</v>
  </rv>
  <rv s="2">
    <v>38</v>
  </rv>
  <rv s="0">
    <v>https://www.bing.com/financeapi/forcetrigger?t=c13hk2&amp;q=XNSE%3aEASEMYTRIP&amp;form=skydnc</v>
    <v>Learn more on Bing</v>
  </rv>
  <rv s="3">
    <v>en-IN</v>
    <v>c13hk2</v>
    <v>268435456</v>
    <v>1</v>
    <v>Powered by Refinitiv</v>
    <v>5</v>
    <v>EASY TRIP PLANNERS LIMITED (XNSE:EASEMYTRIP)</v>
    <v>2</v>
    <v>6</v>
    <v>Finance</v>
    <v>4</v>
    <v>358.83</v>
    <v>80.5</v>
    <v>-1.45</v>
    <v>-4.2500000000000003E-3</v>
    <v>INR</v>
    <v>Easy Trip Planners Ltd, formerly Easy Trip Planners Pvt Ltd, is an online travel agency. The Company is engaged in providing reservation and booking services related to travel and tourism through ease my trip-portal, ease my trip-app or in-house call-center. The Company’s segments include air ticketing, and hotels and packages. Its air ticketing segment offers an Internet and mobile based platform and call-centers that provides the facility to book and service international and domestic air tickets to consumer through business-to-customers (B2C) and business-to-business-customers (B2B2C) channel. Its hotels and packages segment provide holiday packages and hotel reservations through call-centers and branch offices. The Company offers travel-related products and services including airline tickets, hotels and holiday packages, rail tickets, bus tickets and taxis as well as ancillary value-added services such as travel insurance, visa processing and tickets for activities and attractions.</v>
    <v>374</v>
    <v>National Stock Exchange of India</v>
    <v>XNSE</v>
    <v>XNSE</v>
    <v>Patparganj Industrial Area, Building Number - 223, NEW DELHI, DELHI, 110092 IN</v>
    <v>350.9</v>
    <v>Hotels &amp; Entertainment Services</v>
    <v>Stock</v>
    <v>44642.471539351849</v>
    <v>40</v>
    <v>331.6</v>
    <v>74139350000</v>
    <v>EASY TRIP PLANNERS LIMITED</v>
    <v>EASY TRIP PLANNERS LIMITED</v>
    <v>340.55</v>
    <v>75.790000000000006</v>
    <v>341.2</v>
    <v>339.75</v>
    <v>217290000</v>
    <v>EASEMYTRIP</v>
    <v>EASY TRIP PLANNERS LIMITED (XNSE:EASEMYTRIP)</v>
    <v>2337502</v>
    <v>2068280</v>
    <v>2008</v>
  </rv>
  <rv s="2">
    <v>41</v>
  </rv>
  <rv s="0">
    <v>https://www.bing.com/financeapi/forcetrigger?t=ahh1bh&amp;q=XNSE%3aAUBANK&amp;form=skydnc</v>
    <v>Learn more on Bing</v>
  </rv>
  <rv s="1">
    <v>en-IN</v>
    <v>ahh1bh</v>
    <v>268435456</v>
    <v>1</v>
    <v>Powered by Refinitiv</v>
    <v>0</v>
    <v>AU SMALL FINANCE BANK LIMITED (XNSE:AUBANK)</v>
    <v>2</v>
    <v>3</v>
    <v>Finance</v>
    <v>4</v>
    <v>1421</v>
    <v>910</v>
    <v>1.5248999999999999</v>
    <v>18.3</v>
    <v>1.5538000000000001E-2</v>
    <v>INR</v>
    <v>AU Small Finance Bank Limited is an India-based non-deposit accepting non-banking financial company (NBFC-ND). The Company is engaged in providing a range of banking and financial services including retail banking, wholesale banking and treasury operations and other services. The Company’s segments include treasury, retail banking, wholesale banking, and other banking business. The treasury segment primarily consists of interest from investment portfolio, money market borrowing and lending. The retail banking segment serves retail customers through a branch network and other delivery channels. The wholesale banking segment provides loans and transaction services to large corporates, emerging corporates, public sector units, government bodies, financial institutions, and medium scale enterprises. The Company offers personal banking, commercial banking, and digital banking. It offers various types of loans which includes vehicle loan, home loan, personal loan, credit card and gold loan.</v>
    <v>22484</v>
    <v>National Stock Exchange of India</v>
    <v>XNSE</v>
    <v>XNSE</v>
    <v>Bank House, Mile 0, Ajmer Road, JAIPUR, RAJASTHAN, 302001 IN</v>
    <v>1199.7</v>
    <v>Banking Services</v>
    <v>Stock</v>
    <v>44642.471875000003</v>
    <v>43</v>
    <v>1164.05</v>
    <v>370873500000</v>
    <v>AU SMALL FINANCE BANK LIMITED</v>
    <v>AU SMALL FINANCE BANK LIMITED</v>
    <v>1177.75</v>
    <v>38.590000000000003</v>
    <v>1177.75</v>
    <v>1196.05</v>
    <v>314900000</v>
    <v>AUBANK</v>
    <v>AU SMALL FINANCE BANK LIMITED (XNSE:AUBANK)</v>
    <v>881785</v>
    <v>1586560</v>
    <v>1996</v>
  </rv>
  <rv s="2">
    <v>44</v>
  </rv>
  <rv s="0">
    <v>https://www.bing.com/financeapi/forcetrigger?t=ahiak2&amp;q=XNSE%3aINDIANB&amp;form=skydnc</v>
    <v>Learn more on Bing</v>
  </rv>
  <rv s="7">
    <v>en-IN</v>
    <v>ahiak2</v>
    <v>268435456</v>
    <v>1</v>
    <v>Powered by Refinitiv</v>
    <v>12</v>
    <v>Indian Bank (XNSE:INDIANB)</v>
    <v>2</v>
    <v>13</v>
    <v>Finance</v>
    <v>4</v>
    <v>194.95</v>
    <v>96.05</v>
    <v>1.9371</v>
    <v>-1.6</v>
    <v>-1.0276E-2</v>
    <v>INR</v>
    <v>Indian Bank is engaged in the business of the banking and financial services. The Company's segments include Treasury, Corporate / Wholesale Banking, Retail Banking, and Other Banking Business. The Treasury Segment includes the entire investment portfolio and trading in foreign exchange contracts and derivative contracts. The Corporate / Wholesale Banking segment comprises the lending activities of corporate accounts group, commercial client’s group, and stressed assets resolution group. These include providing loans and transaction services to corporate and institutional clients and further include non-treasury operations of foreign offices. The Retail Banking Segment comprises of retail branches, which primarily includes personal banking activities including lending activities to corporate customers having banking relations with these branches. This segment also includes agency business and automated teller machine (ATM). It offers deposit products, loan products and remittances.</v>
    <v>41557</v>
    <v>National Stock Exchange of India</v>
    <v>XNSE</v>
    <v>XNSE</v>
    <v>Investor Services Cell, Wing 2-C, 254-260, Avvai Shanmugam Salai, Royapettah, CHENNAI, TAMIL NADU, 600014 IN</v>
    <v>155.9</v>
    <v>Banking Services</v>
    <v>Stock</v>
    <v>44642.471770833334</v>
    <v>46</v>
    <v>151.80000000000001</v>
    <v>193915200000</v>
    <v>Indian Bank</v>
    <v>Indian Bank</v>
    <v>155</v>
    <v>3.77</v>
    <v>155.69999999999999</v>
    <v>154.1</v>
    <v>1245441000</v>
    <v>INDIANB</v>
    <v>Indian Bank (XNSE:INDIANB)</v>
    <v>1113478</v>
    <v>2953160</v>
  </rv>
  <rv s="2">
    <v>47</v>
  </rv>
  <rv s="0">
    <v>https://www.bing.com/financeapi/forcetrigger?t=bsg5qh&amp;q=XNSE%3aIRCTC&amp;form=skydnc</v>
    <v>Learn more on Bing</v>
  </rv>
  <rv s="3">
    <v>en-IN</v>
    <v>bsg5qh</v>
    <v>268435456</v>
    <v>1</v>
    <v>Powered by Refinitiv</v>
    <v>5</v>
    <v>INDIAN RAILWAY CATERING AND TOURISM CORPORATION LIMITED (XNSE:IRCTC)</v>
    <v>2</v>
    <v>6</v>
    <v>Finance</v>
    <v>4</v>
    <v>1279.26</v>
    <v>310</v>
    <v>-4.95</v>
    <v>-6.4219999999999998E-3</v>
    <v>INR</v>
    <v>Indian Railway Catering and Tourism Corporation Limited is an India-based company that is engaged in offering Internet ticketing, catering and tourism. The Company's primary business activity is offering catering and hospitality services at stations, on trains and other locations. Its segments include Catering and Hospitality; Internet Ticketing; Travel and Tourism, and Packaged Drinking Water (Rail Neer). Its services include flight booking, hotel booking, rail Drishti, e-catering, bus service, holiday packages, tourist train, hill railways, charter train, and others. Its holiday packages include Maharajas' Express, International Packages, Domestic Air Packages, Buddhist Circuit Tourist Train, Rail Tour Packages, and others. It also operates s air ticketing agency for booking of air ticket on official tour for government employees. The Company also provides IRCTC official application which consists of eWallet, loyalty program, iPay Payment Gateway, and IRCTC Zone.</v>
    <v>1417</v>
    <v>National Stock Exchange of India</v>
    <v>XNSE</v>
    <v>XNSE</v>
    <v>IRCTC Ltd, 11th Floor, B ? 148, Statesman House, Barakhamba Road, New Delhi ? 110 001, Delhi, Indi, DELHI, DELHI, 110001 IN</v>
    <v>774</v>
    <v>Passenger Transportation Services</v>
    <v>Stock</v>
    <v>44642.471759259257</v>
    <v>49</v>
    <v>752.1</v>
    <v>616600000000</v>
    <v>INDIAN RAILWAY CATERING AND TOURISM CORPORATION LIMITED</v>
    <v>INDIAN RAILWAY CATERING AND TOURISM CORPORATION LIMITED</v>
    <v>774</v>
    <v>111.33</v>
    <v>770.75</v>
    <v>765.8</v>
    <v>800000000</v>
    <v>IRCTC</v>
    <v>INDIAN RAILWAY CATERING AND TOURISM CORPORATION LIMITED (XNSE:IRCTC)</v>
    <v>2670547</v>
    <v>3734080</v>
    <v>1999</v>
  </rv>
  <rv s="2">
    <v>50</v>
  </rv>
  <rv s="0">
    <v>https://www.bing.com/financeapi/forcetrigger?t=ahibur&amp;q=XNSE%3aINDUSINDBK&amp;form=skydnc</v>
    <v>Learn more on Bing</v>
  </rv>
  <rv s="1">
    <v>en-IN</v>
    <v>ahibur</v>
    <v>268435456</v>
    <v>1</v>
    <v>Powered by Refinitiv</v>
    <v>0</v>
    <v>INDUSIND BANK LTD. (XNSE:INDUSINDBK)</v>
    <v>2</v>
    <v>3</v>
    <v>Finance</v>
    <v>4</v>
    <v>1242</v>
    <v>811</v>
    <v>2.2698</v>
    <v>14.3</v>
    <v>1.5656E-2</v>
    <v>INR</v>
    <v>IndusInd Bank Limited (the Bank) is engaged in banking and para-banking services. The Bank is focused on accepting deposits, such as savings accounts, current accounts and fixed deposits, and banking solutions. The Bank is engaged in granting loans to various segments, such as industries and businesses, and retail loans; financing a range of vehicles or equipment to individuals, and priority sector lending. The Bank's segments include Treasury, Corporate / Wholesale Banking, Retail Banking and Other Banking Business. The Treasury segment includes investment portfolios, profit or loss on sale of investments, profit or loss on foreign exchange transactions, equities, income from derivatives and money market operations. The Corporate/Wholesale Banking segment includes lending to and deposits from corporate customers. The Retail Banking segment includes lending to and deposits from retail customers.</v>
    <v>29661</v>
    <v>National Stock Exchange of India</v>
    <v>XNSE</v>
    <v>XNSE</v>
    <v>8th Floor, Tower 1, One Indiabulls Centre, 841, Senapati Bapat Marg, Elphinstone Road (W), MUMBAI, MAHARASHTRA, 400013 IN</v>
    <v>932</v>
    <v>Banking Services</v>
    <v>Stock</v>
    <v>44642.471597222226</v>
    <v>52</v>
    <v>903.6</v>
    <v>707567100000</v>
    <v>INDUSIND BANK LTD.</v>
    <v>INDUSIND BANK LTD.</v>
    <v>916</v>
    <v>16.28</v>
    <v>913.4</v>
    <v>927.7</v>
    <v>774652000</v>
    <v>INDUSINDBK</v>
    <v>INDUSIND BANK LTD. (XNSE:INDUSINDBK)</v>
    <v>2764481</v>
    <v>4988890</v>
    <v>1994</v>
  </rv>
  <rv s="2">
    <v>53</v>
  </rv>
  <rv s="0">
    <v>https://www.bing.com/financeapi/forcetrigger?t=ahh2gh&amp;q=XNSE%3aAXISBANK&amp;form=skydnc</v>
    <v>Learn more on Bing</v>
  </rv>
  <rv s="1">
    <v>en-IN</v>
    <v>ahh2gh</v>
    <v>268435456</v>
    <v>1</v>
    <v>Powered by Refinitiv</v>
    <v>0</v>
    <v>Axis Bank Limited (XNSE:AXISBANK)</v>
    <v>2</v>
    <v>3</v>
    <v>Finance</v>
    <v>4</v>
    <v>866.9</v>
    <v>626.65</v>
    <v>1.4796</v>
    <v>5.5</v>
    <v>7.5770000000000004E-3</v>
    <v>INR</v>
    <v>Axis Bank Limited (the Bank) is an India-based company that is engaged in the banking and financial services. The Bank's segments include Treasury, Retail Banking and Corporate/Wholesale Banking. The Treasury segment includes investments in sovereign and corporate debt, equity and mutual funds, trading operations, derivative trading and foreign exchange operations and offers a central funding unit. The Retail Banking segment constitutes lending to individuals/small businesses through the branch network and other delivery channels subject to the orientation, nature of product, granularity of the exposure and the quantum thereof. The Corporate/Wholesale Banking segment includes corporate relationships not included under Retail Banking, corporate advisory services, placements and syndication, project appraisals, capital market-related services, and cash management services. It also offers para banking activities, including third-party product distribution and other banking transactions.</v>
    <v>78307</v>
    <v>National Stock Exchange of India</v>
    <v>XNSE</v>
    <v>XNSE</v>
    <v>Bombay Dyeing Mills Compound, Pandurang Budhkar Marg,, Worli, MUMBAI, MAHARASHTRA, 400025 IN</v>
    <v>736</v>
    <v>Banking Services</v>
    <v>Stock</v>
    <v>44642.471608796295</v>
    <v>55</v>
    <v>706.35</v>
    <v>2228230000000</v>
    <v>Axis Bank Limited</v>
    <v>Axis Bank Limited</v>
    <v>729</v>
    <v>17.600000000000001</v>
    <v>725.9</v>
    <v>731.4</v>
    <v>3069610000</v>
    <v>AXISBANK</v>
    <v>Axis Bank Limited (XNSE:AXISBANK)</v>
    <v>11117081</v>
    <v>15693290</v>
    <v>1993</v>
  </rv>
  <rv s="2">
    <v>56</v>
  </rv>
  <rv s="0">
    <v>https://www.bing.com/financeapi/forcetrigger?t=ahkfnm&amp;q=XNSE%3aTTML&amp;form=skydnc</v>
    <v>Learn more on Bing</v>
  </rv>
  <rv s="1">
    <v>en-IN</v>
    <v>ahkfnm</v>
    <v>268435456</v>
    <v>1</v>
    <v>Powered by Refinitiv</v>
    <v>0</v>
    <v>TATA TELESERVICES (MAHARASHTRA) LIMITED (XNSE:TTML)</v>
    <v>2</v>
    <v>3</v>
    <v>Finance</v>
    <v>4</v>
    <v>290.14999999999998</v>
    <v>10.45</v>
    <v>1.0599000000000001</v>
    <v>6.85</v>
    <v>4.9656000000000006E-2</v>
    <v>INR</v>
    <v>Tata Teleservices (Maharashtra) Limited is a provider of connectivity and communication solutions for enterprise customers. The Company is engaged in wired and wireless telecommunications activities. The Company’s services include connectivity, collaboration, cloud, security, Internet of things (IoT) and marketing solutions. It offers information and communication technologies (ICT) services for businesses in India under the Tata Tele Business Services (TTBS) brand. TTBS provides telecom solutions to small, medium and large enterprises. It offers Smartflo, a suite of advanced cloud communication solutions for enterprises. The Company’s security portfolio comprises of email security, endpoint security, Web security, virtual firewall and multifactor authentication. It offers a host of plug and play collaboration solutions, such as Web conferencing solutions, hosted interactive voice response (HIVR) and international bridging services (IBS).</v>
    <v>323</v>
    <v>National Stock Exchange of India</v>
    <v>XNSE</v>
    <v>XNSE</v>
    <v>D-26,, TTC Industrial Area,, MIDC, Sanpada,, NAVI MUMBAI, MAHARASHTRA, 400703 IN</v>
    <v>144.80000000000001</v>
    <v>Telecommunications Services</v>
    <v>Stock</v>
    <v>44642.471689814818</v>
    <v>58</v>
    <v>144.80000000000001</v>
    <v>269682300000</v>
    <v>TATA TELESERVICES (MAHARASHTRA) LIMITED</v>
    <v>TATA TELESERVICES (MAHARASHTRA) LIMITED</v>
    <v>144.80000000000001</v>
    <v>0</v>
    <v>137.94999999999999</v>
    <v>144.80000000000001</v>
    <v>1954928000</v>
    <v>TTML</v>
    <v>TATA TELESERVICES (MAHARASHTRA) LIMITED (XNSE:TTML)</v>
    <v>315759</v>
    <v>3027150</v>
    <v>1995</v>
  </rv>
  <rv s="2">
    <v>59</v>
  </rv>
  <rv s="0">
    <v>https://www.bing.com/financeapi/forcetrigger?t=b13w8m&amp;q=XNSE%3aBORORENEW&amp;form=skydnc</v>
    <v>Learn more on Bing</v>
  </rv>
  <rv s="1">
    <v>en-IN</v>
    <v>b13w8m</v>
    <v>268435456</v>
    <v>1</v>
    <v>Powered by Refinitiv</v>
    <v>0</v>
    <v>BOROSIL RENEWABLES LIMITED (XNSE:BORORENEW)</v>
    <v>2</v>
    <v>3</v>
    <v>Finance</v>
    <v>4</v>
    <v>747.9</v>
    <v>213.25</v>
    <v>2.5049999999999999</v>
    <v>-1.6</v>
    <v>-2.6870000000000002E-3</v>
    <v>INR</v>
    <v>Borosil Renewables Limited is an India-based company, which is engaged in the manufacturing of patterned glass and low iron solar glass for application in photovoltaic (PV) panels, flat plate collectors and greenhouses. It offers various product range of solar glasses, which includes antimony free solar glass, anti-reflective and anti-soiling coated solar glass and anti-reflective and shipments in reusable/returnable packaging to cut down need for wood. It is a manufacturer of various ranges of volumetric glassware and exports it to over 50 countries across the world. Its consumer offerings include a range of glassware, such as opalware dinner sets (sold under the brand Larah), kitchen appliances, storage products, glass lunch boxes and stainless-steel vacuum insulated flasks and bottles. Its products, such as Selene, is an anti-glare solar glass suitable for PV installations near airports and Shakti, is a solar glass in matt-matt finish. It also manufactures specialty glasses.</v>
    <v>486</v>
    <v>National Stock Exchange of India</v>
    <v>XNSE</v>
    <v>XNSE</v>
    <v>1101 Cresenzo, G-Block,, Opp,MCA Club Bandra Kurla Complex,, Bandra East,, MUMBAI, MAHARASHTRA, 400051 IN</v>
    <v>597.79999999999995</v>
    <v>Chemicals</v>
    <v>Stock</v>
    <v>44642.471550925926</v>
    <v>61</v>
    <v>586</v>
    <v>77607020000</v>
    <v>BOROSIL RENEWABLES LIMITED</v>
    <v>BOROSIL RENEWABLES LIMITED</v>
    <v>594</v>
    <v>41.51</v>
    <v>595.35</v>
    <v>593.75</v>
    <v>130355300</v>
    <v>BORORENEW</v>
    <v>BOROSIL RENEWABLES LIMITED (XNSE:BORORENEW)</v>
    <v>114716</v>
    <v>274440</v>
    <v>1962</v>
  </rv>
  <rv s="2">
    <v>62</v>
  </rv>
  <rv s="0">
    <v>https://www.bing.com/financeapi/forcetrigger?t=ahkhjc&amp;q=XNSE%3aUNIONBANK&amp;form=skydnc</v>
    <v>Learn more on Bing</v>
  </rv>
  <rv s="1">
    <v>en-IN</v>
    <v>ahkhjc</v>
    <v>268435456</v>
    <v>1</v>
    <v>Powered by Refinitiv</v>
    <v>0</v>
    <v>UNION BANK OF INDIA LIMITED (XNSE:UNIONBANK)</v>
    <v>2</v>
    <v>3</v>
    <v>Finance</v>
    <v>4</v>
    <v>54.8</v>
    <v>32.1</v>
    <v>1.3766</v>
    <v>-0.7</v>
    <v>-1.7632000000000002E-2</v>
    <v>INR</v>
    <v>Union Bank of India is an India-based banking company. The Company’s segments include Treasury Operations, Corporate and Wholesale Banking and Other Banking Operations. The Company offers products in three categories, including personal, corporate loans and international. Its personal products include accounts and deposits, loans, which includes retail, micro, small and medium enterprises (MSME), wealth management, financial schemes and lockers/other services. Its corporate loans include trade finance, working capital, line of credit, project financing, and channel finance. Its international services include non-resident Indian speedy and easy remittances, Internet Banking, international debit/credit cards, home loans, special deposit schemes, and online donation facility. It provides digital services, such as app banking, Internet banking, automated teller machine banking and immediate payment service (IMPS). It also provides foreign currency loans.</v>
    <v>78202</v>
    <v>National Stock Exchange of India</v>
    <v>XNSE</v>
    <v>XNSE</v>
    <v>Union Bank Bhavan, 239, Vidhan Bhavan Marg, Nariman Point, MUMBAI, MAHARASHTRA, 400021 IN</v>
    <v>39.9</v>
    <v>Banking Services</v>
    <v>Stock</v>
    <v>44642.471712962964</v>
    <v>64</v>
    <v>38.9</v>
    <v>271339500000</v>
    <v>UNION BANK OF INDIA LIMITED</v>
    <v>UNION BANK OF INDIA LIMITED</v>
    <v>39.799999999999997</v>
    <v>5.33</v>
    <v>39.700000000000003</v>
    <v>39</v>
    <v>6834748000</v>
    <v>UNIONBANK</v>
    <v>UNION BANK OF INDIA LIMITED (XNSE:UNIONBANK)</v>
    <v>12718277</v>
    <v>11006050</v>
    <v>1919</v>
  </rv>
  <rv s="2">
    <v>65</v>
  </rv>
  <rv s="0">
    <v>https://www.bing.com/financeapi/forcetrigger?t=ahi8oc&amp;q=XNSE%3aIDBI&amp;form=skydnc</v>
    <v>Learn more on Bing</v>
  </rv>
  <rv s="1">
    <v>en-IN</v>
    <v>ahi8oc</v>
    <v>268435456</v>
    <v>1</v>
    <v>Powered by Refinitiv</v>
    <v>0</v>
    <v>IDBI Bank Limited (XNSE:IDBI)</v>
    <v>2</v>
    <v>3</v>
    <v>Finance</v>
    <v>4</v>
    <v>65.25</v>
    <v>33.299999999999997</v>
    <v>1.4373</v>
    <v>0.55000000000000004</v>
    <v>1.2291000000000002E-2</v>
    <v>INR</v>
    <v>IDBI Bank Limited is a banking company. Its segments include Corporate / Wholesale Banking segment, which includes corporate relationship covering deposit and credit activities other than retail and also covers corporate advisory / syndication, project appraisal and investment portfolio including strategic investments; Retail Banking segment, which includes credit and deposit activities that are primarily oriented towards individuals and small business including priority sector lending and also encompasses payment and alternate channels like automated teller machines (ATMs), point of sale (POS) machines, Internet Banking, mobile banking, credit cards, debit cards, travel/currency cards, third party distribution and transaction banking services, and Treasury segment, which includes trading portfolio of investments, money market operations, derivative trading, foreign exchange operations on the proprietary account and for customers.</v>
    <v>17319</v>
    <v>National Stock Exchange of India</v>
    <v>XNSE</v>
    <v>XNSE</v>
    <v>22nd floor, IDBI Tower, WTC Complex, Cuffe Parade,, MUMBAI, MAHARASHTRA, 400005 IN</v>
    <v>46.2</v>
    <v>Banking Services</v>
    <v>Stock</v>
    <v>44642.471516203703</v>
    <v>67</v>
    <v>43.9</v>
    <v>481170000000</v>
    <v>IDBI Bank Limited</v>
    <v>IDBI Bank Limited</v>
    <v>44.95</v>
    <v>19.739999999999998</v>
    <v>44.75</v>
    <v>45.3</v>
    <v>10752400000</v>
    <v>IDBI</v>
    <v>IDBI Bank Limited (XNSE:IDBI)</v>
    <v>10651646</v>
    <v>7850860</v>
    <v>2004</v>
  </rv>
  <rv s="2">
    <v>68</v>
  </rv>
  <rv s="0">
    <v>https://www.bing.com/financeapi/forcetrigger?t=ahiimw&amp;q=XNSE%3aJSWENERGY&amp;form=skydnc</v>
    <v>Learn more on Bing</v>
  </rv>
  <rv s="1">
    <v>en-IN</v>
    <v>ahiimw</v>
    <v>268435456</v>
    <v>1</v>
    <v>Powered by Refinitiv</v>
    <v>0</v>
    <v>JSW ENERGY LIMITED (XNSE:JSWENERGY)</v>
    <v>2</v>
    <v>3</v>
    <v>Finance</v>
    <v>4</v>
    <v>408</v>
    <v>81.099999999999994</v>
    <v>0.91739999999999999</v>
    <v>-3.55</v>
    <v>-1.1651E-2</v>
    <v>INR</v>
    <v>JSW Energy Limited is an India-based integrated power company engaged in the business of generation and sale of power. The Company's segments include Power Trading, Equipment Manufacturing and Mining. Its plants include Baspa, Karcham Wangtoo, Barmer, Vijaynagar and Ratnagiri. Baspa Plant is located in the higher reaches of the Himalayas and has a generating capacity of approximately 300 megawatts (MW). The Karcham Wangtoo plant is located on river Satluj in District Kinnaur of Himachal Pradesh and has a generating capacity of approximately 1091 MW. Barmer Plant is located close to its fuel source, the lignite mines in Kapurdi and Jalipa. The Vijayanagar plant is located in Karnataka, this plant consists of two separate business units BU I and SBU I, with a combined capacity of approximately 860MW. The Company generates approximately 4,559 MW, out of which approximately 3158 MW is thermal power approximately 1391 MW is hydropower and approximately 10 MW solar power.</v>
    <v>1578</v>
    <v>National Stock Exchange of India</v>
    <v>XNSE</v>
    <v>XNSE</v>
    <v>JSW Centre, Bandra Kurla Complex, Bandra (East), MUMBAI, MAHARASHTRA, 400051 IN</v>
    <v>306</v>
    <v>Electrical Utilities &amp; IPPs</v>
    <v>Stock</v>
    <v>44642.47184027778</v>
    <v>70</v>
    <v>300</v>
    <v>499772200000</v>
    <v>JSW ENERGY LIMITED</v>
    <v>JSW ENERGY LIMITED</v>
    <v>304.7</v>
    <v>51.72</v>
    <v>304.7</v>
    <v>301.14999999999998</v>
    <v>1640211000</v>
    <v>JSWENERGY</v>
    <v>JSW ENERGY LIMITED (XNSE:JSWENERGY)</v>
    <v>166238</v>
    <v>457020</v>
    <v>1994</v>
  </rv>
  <rv s="2">
    <v>71</v>
  </rv>
  <rv s="0">
    <v>http://en.wikipedia.org/wiki/ITC_Limited</v>
    <v>Wikipedia</v>
  </rv>
  <rv s="4">
    <v>30</v>
    <v>73</v>
  </rv>
  <rv s="5">
    <v>11</v>
    <v>https://www.bing.com/th?id=AMMS_249b6c3416d9d0337e9d0cdf4d6e4a9f&amp;qlt=95</v>
    <v>74</v>
    <v>0</v>
    <v>https://www.bing.com/images/search?form=xlimg&amp;q=itc+limited</v>
    <v>Image of ITC LIMITED</v>
  </rv>
  <rv s="0">
    <v>https://www.bing.com/financeapi/forcetrigger?t=ahie2w&amp;q=XNSE%3aITC&amp;form=skydnc</v>
    <v>Learn more on Bing</v>
  </rv>
  <rv s="6">
    <v>en-IN</v>
    <v>ahie2w</v>
    <v>268435456</v>
    <v>1</v>
    <v>Powered by Refinitiv</v>
    <v>7</v>
    <v>ITC LIMITED (XNSE:ITC)</v>
    <v>9</v>
    <v>10</v>
    <v>Finance</v>
    <v>4</v>
    <v>265.3</v>
    <v>199.1</v>
    <v>0.71819999999999995</v>
    <v>5.25</v>
    <v>2.1472000000000002E-2</v>
    <v>INR</v>
    <v>ITC Limited is an India-based holding company. The Company operates through four segments: FMCG (fast moving consumer goods), Hotels, Paperboards, Paper and Packaging and Agri Business. The FMCG segment includes Cigarettes, such as cigarettes and cigars and Others, such as branded packaged foods businesses (staples and meals; snacks; dairy and beverages; biscuits and cakes; chocolates, coffee, and confectionery); education and stationery products; personal care products; safety matches and agarbattis and apparel. Its Hotels segment includes Hoteliering. Its Paperboards, Paper and Packaging segment includes Paperboards, Paper including Specialty Paper and Packaging including Flexibles. Its Agri Business segment includes Agri commodities such as soya, spices, coffee, and leaf tobacco. Its Other segment includes information technology services and branded residences. Its brand includes Aashirvaad, Bingo!, Candyman, Fiama, Vivel, Classmate, Superia, Engage, Mangaldeep, Aim and Homelites.</v>
    <v>26017</v>
    <v>National Stock Exchange of India</v>
    <v>XNSE</v>
    <v>XNSE</v>
    <v>Virginia House, 37, J. L. Nehru Road, KOLKATA, WEST BENGAL, 110001 IN</v>
    <v>250.75</v>
    <v>75</v>
    <v>Food &amp; Tobacco</v>
    <v>Stock</v>
    <v>44642.471516203703</v>
    <v>76</v>
    <v>243.55</v>
    <v>3013036000000</v>
    <v>ITC LIMITED</v>
    <v>ITC LIMITED</v>
    <v>244.55</v>
    <v>20.34</v>
    <v>244.5</v>
    <v>249.75</v>
    <v>12323260000</v>
    <v>ITC</v>
    <v>ITC LIMITED (XNSE:ITC)</v>
    <v>36945426</v>
    <v>35336170</v>
    <v>1910</v>
  </rv>
  <rv s="2">
    <v>77</v>
  </rv>
  <rv s="0">
    <v>https://www.bing.com/financeapi/forcetrigger?t=ahju6h&amp;q=XNSE%3aSBIN&amp;form=skydnc</v>
    <v>Learn more on Bing</v>
  </rv>
  <rv s="7">
    <v>en-IN</v>
    <v>ahju6h</v>
    <v>268435456</v>
    <v>1</v>
    <v>Powered by Refinitiv</v>
    <v>12</v>
    <v>State Bank of India (XNSE:SBIN)</v>
    <v>2</v>
    <v>13</v>
    <v>Finance</v>
    <v>4</v>
    <v>549</v>
    <v>321.3</v>
    <v>1.4803999999999999</v>
    <v>3.1</v>
    <v>6.319E-3</v>
    <v>INR</v>
    <v>State Bank of India is an India-based banking and financial services company. The Company’s segments include Treasury, Corporate/Wholesale Banking, Retail Banking and Insurance Business. The Treasury segment includes the entire investment portfolio and trading in foreign exchange contracts and derivative contracts. The Corporate/Wholesale Banking segment comprises the lending activities of corporate accounts group, commercial client’s group and stressed assets resolution group. The Retail Banking segment comprises retail branches, which primarily includes personal banking activities, including lending activities to corporate customers, and also includes agency business and automated teller machines (ATMs). The Insurance Business segment comprises the results of SBI Life Insurance Co. Ltd. and SBI General Insurance Co. Ltd. It is involved in providing a range of products and services to individuals, commercial enterprises, large corporates, public bodies and institutional customers.</v>
    <v>245652</v>
    <v>National Stock Exchange of India</v>
    <v>XNSE</v>
    <v>XNSE</v>
    <v>Corporate Centre, State Bank Bhavan, Madame Cama Road, Nariman Point, MUMBAI, MAHARASHTRA, 400021 IN</v>
    <v>495.8</v>
    <v>Banking Services</v>
    <v>Stock</v>
    <v>44642.471550925926</v>
    <v>79</v>
    <v>477.25</v>
    <v>4378415000000</v>
    <v>State Bank of India</v>
    <v>State Bank of India</v>
    <v>490.6</v>
    <v>13.7</v>
    <v>490.6</v>
    <v>493.7</v>
    <v>8924611000</v>
    <v>SBIN</v>
    <v>State Bank of India (XNSE:SBIN)</v>
    <v>26157969</v>
    <v>27838520</v>
  </rv>
  <rv s="2">
    <v>80</v>
  </rv>
  <rv s="0">
    <v>https://www.bing.com/financeapi/forcetrigger?t=ahj827&amp;q=XNSE%3aNLCINDIA&amp;form=skydnc</v>
    <v>Learn more on Bing</v>
  </rv>
  <rv s="1">
    <v>en-IN</v>
    <v>ahj827</v>
    <v>268435456</v>
    <v>1</v>
    <v>Powered by Refinitiv</v>
    <v>0</v>
    <v>NLC INDIA LIMITED (XNSE:NLCINDIA)</v>
    <v>2</v>
    <v>3</v>
    <v>Finance</v>
    <v>4</v>
    <v>80.099999999999994</v>
    <v>46.2</v>
    <v>0.85770000000000002</v>
    <v>-0.25</v>
    <v>-4.0029999999999996E-3</v>
    <v>INR</v>
    <v>NLC India Limited is an India-based company, which is engaged in the business of mining of lignite, coal, and generation of power by using lignite as well as renewable energy sources. The Company's segments include Mining and Power Generation. The Mining segment is engaged in the mining of lignite. The Power Generation segment is engaged in the generation of power and sale to power utilities across the country. Its main products include lignite mining, coal mining, thermal power generation, renewable energy generation, such as solar and wind and power trading. It has approximately four open cast lignite mines, such as Mine I, Mine II, Mine IA and Barsingsar Mine and one open cast coal mine, Talabira II and III. It has about five pithead thermal power stations with an aggregate capacity of approximately 3640 megawatts (MW). The Company's subsidiaries include NLC Tamilnadu Power Limited and Neyveli Uttar Pradesh Power Limited.</v>
    <v>11379</v>
    <v>National Stock Exchange of India</v>
    <v>XNSE</v>
    <v>XNSE</v>
    <v>Block - 1, Neyveli, CUDDALORE, TAMIL NADU, 607801 IN</v>
    <v>62.9</v>
    <v>Electrical Utilities &amp; IPPs</v>
    <v>Stock</v>
    <v>44642.471678240741</v>
    <v>82</v>
    <v>61.55</v>
    <v>86595450000</v>
    <v>NLC INDIA LIMITED</v>
    <v>NLC INDIA LIMITED</v>
    <v>62.55</v>
    <v>5.99</v>
    <v>62.45</v>
    <v>62.2</v>
    <v>1386637000</v>
    <v>NLCINDIA</v>
    <v>NLC INDIA LIMITED (XNSE:NLCINDIA)</v>
    <v>1307057</v>
    <v>2396120</v>
    <v>1956</v>
  </rv>
  <rv s="2">
    <v>83</v>
  </rv>
  <rv s="0">
    <v>https://www.bing.com/financeapi/forcetrigger?t=ahi3gh&amp;q=XNSE%3aHDFC&amp;form=skydnc</v>
    <v>Learn more on Bing</v>
  </rv>
  <rv s="1">
    <v>en-IN</v>
    <v>ahi3gh</v>
    <v>268435456</v>
    <v>1</v>
    <v>Powered by Refinitiv</v>
    <v>0</v>
    <v>HOUSING DEVELOPMENT FINANCE CORPORATION LIMITED (XNSE:HDFC)</v>
    <v>2</v>
    <v>3</v>
    <v>Finance</v>
    <v>4</v>
    <v>3021.1</v>
    <v>2046</v>
    <v>1.1506000000000001</v>
    <v>10.85</v>
    <v>4.5360000000000001E-3</v>
    <v>INR</v>
    <v>Housing Development Finance Corporation Limited is an India-based holding company that is primarily engaged in providing finance to individuals, corporates and developers for the purchase, construction, development and repair of houses, apartments and commercial properties. The Company's segments include loans, life insurance, general insurance and asset management. The Company offers a range of insurance products, including motor, health, travel, home and personal accident in the retail division. It has customized products, such as property, marine, aviation, cyber security and liability insurance in the corporate division and crop insurance. The Company operates approximately 387 branches and service centers.</v>
    <v>3226</v>
    <v>National Stock Exchange of India</v>
    <v>XNSE</v>
    <v>XNSE</v>
    <v>HDFC House, H T Parekh Marg, 165-166,, Backbay Reclamation, Churchgate, MUMBAI, MAHARASHTRA, 400020 IN</v>
    <v>2420</v>
    <v>Banking Services</v>
    <v>Stock</v>
    <v>44642.471516203703</v>
    <v>85</v>
    <v>2355.5500000000002</v>
    <v>4334031000000</v>
    <v>HOUSING DEVELOPMENT FINANCE CORPORATION LIMITED</v>
    <v>HOUSING DEVELOPMENT FINANCE CORPORATION LIMITED</v>
    <v>2398</v>
    <v>20.03</v>
    <v>2391.9</v>
    <v>2402.75</v>
    <v>1811962000</v>
    <v>HDFC</v>
    <v>HOUSING DEVELOPMENT FINANCE CORPORATION LIMITED (XNSE:HDFC)</v>
    <v>6357856</v>
    <v>5016620</v>
    <v>1977</v>
  </rv>
  <rv s="2">
    <v>86</v>
  </rv>
  <rv s="0">
    <v>https://www.bing.com/financeapi/forcetrigger?t=ahjekr&amp;q=XNSE%3aPFIZER&amp;form=skydnc</v>
    <v>Learn more on Bing</v>
  </rv>
  <rv s="1">
    <v>en-IN</v>
    <v>ahjekr</v>
    <v>268435456</v>
    <v>1</v>
    <v>Powered by Refinitiv</v>
    <v>0</v>
    <v>PFIZER LIMITED (XNSE:PFIZER)</v>
    <v>2</v>
    <v>3</v>
    <v>Finance</v>
    <v>4</v>
    <v>6175</v>
    <v>4180</v>
    <v>0.47920000000000001</v>
    <v>-71.3</v>
    <v>-1.5820000000000001E-2</v>
    <v>INR</v>
    <v>Pfizer Limited is an India-based pharmaceutical company. The Company has a portfolio of approximately 150 products across over 15 therapeutic areas. The Company is engaged in manufacturing, marketing, trading and exporting pharmaceutical products. The Company offers a range of products for anti-diabetic, anti-infectives, cardiovascular, dermatology, erectile dysfunction, gastrointestinal (GI), multivitamins, neurology, pain/fever/inflammation and autoimmune disorders, among others. Its products include Trulimax, Vibazime DT, Viagra, Daxid, Tricorex, Mucaine, Diamox, Hetrazan, Enbrel, Ativan, Pacitane, Folvite Tablets, Autrin Capsules, Prevenar 13, Wysolone, Loette, Ovral G, Ovral L, Premarin tablets, Premarin Vaginal Cream, Zosyn, Wymox, Tygacil, Cynomycin, Targit, Cyklokapron and Magnamycin. The Company has its own manufacturing facility at Thane and Goa. The Company has various independent contract/third party manufacturers based across the country.</v>
    <v>2358</v>
    <v>National Stock Exchange of India</v>
    <v>XNSE</v>
    <v>XNSE</v>
    <v>The Capital, 1802,18th floor, Plot No.C-70, G Block, Bandra Kurla Complex, Bandra East, MUMBAI, MAHARASHTRA, 400051 IN</v>
    <v>4531.5</v>
    <v>Pharmaceuticals</v>
    <v>Stock</v>
    <v>44642.471539351849</v>
    <v>88</v>
    <v>4416.3</v>
    <v>206182700000</v>
    <v>PFIZER LIMITED</v>
    <v>PFIZER LIMITED</v>
    <v>4507</v>
    <v>35.11</v>
    <v>4506.95</v>
    <v>4435.6499999999996</v>
    <v>45747730</v>
    <v>PFIZER</v>
    <v>PFIZER LIMITED (XNSE:PFIZER)</v>
    <v>33105</v>
    <v>49550</v>
    <v>1950</v>
  </rv>
  <rv s="2">
    <v>89</v>
  </rv>
  <rv s="0">
    <v>https://www.bing.com/financeapi/forcetrigger?t=ahk1m7&amp;q=XNSE%3aSOBHA&amp;form=skydnc</v>
    <v>Learn more on Bing</v>
  </rv>
  <rv s="1">
    <v>en-IN</v>
    <v>ahk1m7</v>
    <v>268435456</v>
    <v>1</v>
    <v>Powered by Refinitiv</v>
    <v>0</v>
    <v>SOBHA LIMITED (XNSE:SOBHA)</v>
    <v>2</v>
    <v>3</v>
    <v>Finance</v>
    <v>4</v>
    <v>1044.95</v>
    <v>419.45</v>
    <v>1.7865</v>
    <v>-4.1500000000000004</v>
    <v>-5.5789999999999998E-3</v>
    <v>INR</v>
    <v>Sobha Limited (SL) is an India-based real estate developer. The Company operates through two segments: real estate segment, and contractual and manufacturing segment. Its real estate segment is engaged in the business of construction, development, sale, management and operation of all or any part of townships, housing projects and other related activities. It also includes leasing of self-owned commercial premises. It builds presidential apartments, villas, row houses, luxury and super luxury apartments, plotted development, and aspirational homes. The Company’s contractual and manufacturing segment comprises development of commercial premises and other related activities, also includes manufacturing activities related to interiors, glazing and metal works and concrete products. It also provides backward integration to Company’s turnkey projects. Its portfolio includes developing offices, convention centers, software development blocks, hostel facilities, restaurants, and club houses.</v>
    <v>3061</v>
    <v>National Stock Exchange of India</v>
    <v>XNSE</v>
    <v>XNSE</v>
    <v>'SOBHA', Sarjapur - Marathahalli Outer Ring Road, Devarabisanahalli, Bellandur Post, BANGALORE, KARNATAKA, 560103 IN</v>
    <v>754.95</v>
    <v>Real Estate Operations</v>
    <v>Stock</v>
    <v>44642.471770833334</v>
    <v>91</v>
    <v>728</v>
    <v>70555830000</v>
    <v>SOBHA LIMITED</v>
    <v>SOBHA LIMITED</v>
    <v>750</v>
    <v>64.319999999999993</v>
    <v>743.9</v>
    <v>739.75</v>
    <v>94845850</v>
    <v>SOBHA</v>
    <v>SOBHA LIMITED (XNSE:SOBHA)</v>
    <v>187128</v>
    <v>399050</v>
    <v>1995</v>
  </rv>
  <rv s="2">
    <v>92</v>
  </rv>
  <rv s="0">
    <v>https://www.bing.com/financeapi/forcetrigger?t=ahipz2&amp;q=XNSE%3aLAURUSLABS&amp;form=skydnc</v>
    <v>Learn more on Bing</v>
  </rv>
  <rv s="1">
    <v>en-IN</v>
    <v>ahipz2</v>
    <v>268435456</v>
    <v>1</v>
    <v>Powered by Refinitiv</v>
    <v>0</v>
    <v>LAURUS LABS LIMITED (XNSE:LAURUSLABS)</v>
    <v>2</v>
    <v>3</v>
    <v>Finance</v>
    <v>4</v>
    <v>723.75</v>
    <v>346</v>
    <v>1.4269000000000001</v>
    <v>1.7</v>
    <v>2.8699999999999997E-3</v>
    <v>INR</v>
    <v>Laurus Labs Limited is an India-based pharmaceutical and biotechnology company. The Company is a manufacturer of active pharmaceutical ingredients (API) for antiretroviral (ARV), oncology, cardiovascular, antidiabetics, anti-asthma and gastroenterology. It also develops and manufactures oral solid formulations, which provide contract research and manufacturing services (CRAMS) to other global pharma companies, and produce specialty ingredients for nutraceuticals, dietary supplements and cosmeceuticals. The Company operates through four business units covering a range of therapeutic applications, including Generics API, which is engaged in the development, manufacture and sale of APIs and advanced intermediates; Generics Finished Dosage Form (FDF), which is engaged in the development and manufacture of oral solid formulations; Synthesis, which is a key starting materials, intermediates and APIs for New Chemical Entities (NCEs), and Bio, which is engaged in the recombinant products.</v>
    <v>4492</v>
    <v>National Stock Exchange of India</v>
    <v>XNSE</v>
    <v>XNSE</v>
    <v>2nd Floor, Serene Chambers,, Road No. 7, Banjara Hills,, Hyderabad 500 034,, HYDERABAD, TELANGANA, 500034 IN</v>
    <v>599</v>
    <v>Pharmaceuticals</v>
    <v>Stock</v>
    <v>44642.471851851849</v>
    <v>94</v>
    <v>586.65</v>
    <v>318304800000</v>
    <v>LAURUS LABS LIMITED</v>
    <v>LAURUS LABS LIMITED</v>
    <v>593</v>
    <v>35.56</v>
    <v>592.35</v>
    <v>594.04999999999995</v>
    <v>537359300</v>
    <v>LAURUSLABS</v>
    <v>LAURUS LABS LIMITED (XNSE:LAURUSLABS)</v>
    <v>1492679</v>
    <v>2449900</v>
    <v>2005</v>
  </rv>
  <rv s="2">
    <v>95</v>
  </rv>
  <rv s="0">
    <v>https://www.bing.com/financeapi/forcetrigger?t=c2jxar&amp;q=XNSE%3aSONACOMS&amp;form=skydnc</v>
    <v>Learn more on Bing</v>
  </rv>
  <rv s="3">
    <v>en-IN</v>
    <v>c2jxar</v>
    <v>268435456</v>
    <v>1</v>
    <v>Powered by Refinitiv</v>
    <v>5</v>
    <v>Sona BLW Precision Forgings Ltd (XNSE:SONACOMS)</v>
    <v>2</v>
    <v>6</v>
    <v>Finance</v>
    <v>4</v>
    <v>839.9</v>
    <v>295</v>
    <v>-6.4</v>
    <v>-9.4870000000000006E-3</v>
    <v>INR</v>
    <v>Sona BLW Precision Forgings Limited is an India-based company, which is engaged in the manufacturing of precision forged bevel gears and differential case assemblies for automotive and other applications. The Company is engaged in the production of differential assemblies, differential gears, conventional and micro-hybrid starter motors, belt starter generator (BSG) systems, electric vehicle (EV) traction motors, such as brushless direct current (BLDC) and permanent magnet synchronous motors (PMSM) and motor control units. Its driveline technology products include precision forged gears, forged couplings and e-drive, among others. Its products offer application across various vehicle categories, including conventional passenger vehicles, commercial vehicles, off-highway vehicles, electric cars, electric light commercial vehicles, and electric two and three wheelers. The Company operates approximately nine manufacturing facilities across India, the United States, Mexico and China.</v>
    <v>3143</v>
    <v>National Stock Exchange of India</v>
    <v>XNSE</v>
    <v>XNSE</v>
    <v>Village Begumpur Khatola Sector 35, Sona Enclave, GURGAON, HARYANA, 122 004 IN</v>
    <v>678.85</v>
    <v>Automobiles &amp; Auto Parts</v>
    <v>Stock</v>
    <v>44642.471585648149</v>
    <v>97</v>
    <v>652</v>
    <v>394204300000</v>
    <v>Sona BLW Precision Forgings Ltd</v>
    <v>Sona BLW Precision Forgings Ltd</v>
    <v>676.25</v>
    <v>126.28</v>
    <v>674.6</v>
    <v>668.2</v>
    <v>584352700</v>
    <v>SONACOMS</v>
    <v>Sona BLW Precision Forgings Ltd (XNSE:SONACOMS)</v>
    <v>1176575</v>
    <v>1402080</v>
    <v>1995</v>
  </rv>
  <rv s="2">
    <v>98</v>
  </rv>
  <rv s="0">
    <v>https://www.bing.com/financeapi/forcetrigger?t=ahk9m7&amp;q=XNSE%3aTATAELXSI&amp;form=skydnc</v>
    <v>Learn more on Bing</v>
  </rv>
  <rv s="1">
    <v>en-IN</v>
    <v>ahk9m7</v>
    <v>268435456</v>
    <v>1</v>
    <v>Powered by Refinitiv</v>
    <v>0</v>
    <v>TATA ELXSI LIMITED (XNSE:TATAELXSI)</v>
    <v>2</v>
    <v>3</v>
    <v>Finance</v>
    <v>4</v>
    <v>7964.4</v>
    <v>2564.34</v>
    <v>1.19</v>
    <v>108.85</v>
    <v>1.4702E-2</v>
    <v>INR</v>
    <v>Tata Elxsi Limited is a provider of design and technology services company. The Company operates in two segments: system integration &amp; support and software development &amp; services. Its system integration &amp; support segment is engaged in implementing and integrating complete systems and solutions for computing, computer-aided design (CAD)/ computer-aided manufacturing (CAM) / computer-aided engineering (CAE)/ product lifecycle management (PLM), broadcast, virtual reality, storage, and disaster recovery and professional services for maintenance and support of infrastructure technology infrastructure in India and overseas. Its software development and services segment are engaged in technology consulting, new product design, development, and testing services; consumer insights and strategy, visual design and branding, product and packaging design, user experience design, service experience design and transportation design and high-end content and three dimensional (3D) animation services.</v>
    <v>7362</v>
    <v>National Stock Exchange of India</v>
    <v>XNSE</v>
    <v>XNSE</v>
    <v>ITPL Road,, Whitefield,, BANGALORE, KARNATAKA, 560048 IN</v>
    <v>7554.05</v>
    <v>Software &amp; IT Services</v>
    <v>Stock</v>
    <v>44642.471562500003</v>
    <v>100</v>
    <v>7311</v>
    <v>461079200000</v>
    <v>TATA ELXSI LIMITED</v>
    <v>TATA ELXSI LIMITED</v>
    <v>7429.8</v>
    <v>91.33</v>
    <v>7403.75</v>
    <v>7512.6</v>
    <v>62276440</v>
    <v>TATAELXSI</v>
    <v>TATA ELXSI LIMITED (XNSE:TATAELXSI)</v>
    <v>312549</v>
    <v>282520</v>
    <v>1989</v>
  </rv>
  <rv s="2">
    <v>101</v>
  </rv>
  <rv s="0">
    <v>https://www.bing.com/financeapi/forcetrigger?t=ahgucw&amp;q=XNSE%3aALKYLAMINE&amp;form=skydnc</v>
    <v>Learn more on Bing</v>
  </rv>
  <rv s="1">
    <v>en-IN</v>
    <v>ahgucw</v>
    <v>268435456</v>
    <v>1</v>
    <v>Powered by Refinitiv</v>
    <v>0</v>
    <v>ALKYL AMINES CHEMICALS LIMITED (XNSE:ALKYLAMINE)</v>
    <v>2</v>
    <v>3</v>
    <v>Finance</v>
    <v>4</v>
    <v>4749</v>
    <v>2123.6</v>
    <v>1.1676</v>
    <v>18.899999999999999</v>
    <v>6.5630000000000003E-3</v>
    <v>INR</v>
    <v>Alkyl Amines Chemicals Limited (AACL) is an India-based company, which is engaged in the business of manufacturing and marketing various aliphatic amines, amine derivatives and other speciality chemicals. The Company supplies amines and amine-based chemicals to the pharmaceutical, agrochemical, rubber chemical and water treatment industries. AACL products include Methylamine, Ethylamine, Isopropylamine, Propylamine, Butylamine, Ethylhexylamine, Cyclohexylamine, Diallylamine, Dimethylpropylamine, Di-Methylbutylamine, Mono-n-Butylamine, Diisobutylamine, Hydroxylnovaldiamine, Imino Bis Propylamine, Methylamine Hydrochloride and Dimethylimidazolidone. It has approximately three manufacturing sites with over 12 production plants and related utilities at Patalganga, Kurkumbh in Maharashtra and Dahej in Gujarat. It exports its products to 10 countries including Philippines, United States of America, Israel, Norway, Spain, United Kingdom, Switzerland, Belgium, Malaysia, Middle East countries.</v>
    <v>585</v>
    <v>National Stock Exchange of India</v>
    <v>XNSE</v>
    <v>XNSE</v>
    <v>207-A, Kakad Chembers,, Dr.Annie Besant Road,, Worli,, MUMBAI, MAHARASHTRA, 400018 IN</v>
    <v>2935</v>
    <v>Chemicals</v>
    <v>Stock</v>
    <v>44642.471574074072</v>
    <v>103</v>
    <v>2862.7</v>
    <v>147081000000</v>
    <v>ALKYL AMINES CHEMICALS LIMITED</v>
    <v>ALKYL AMINES CHEMICALS LIMITED</v>
    <v>2895.05</v>
    <v>68.209999999999994</v>
    <v>2879.85</v>
    <v>2898.75</v>
    <v>51072450</v>
    <v>ALKYLAMINE</v>
    <v>ALKYL AMINES CHEMICALS LIMITED (XNSE:ALKYLAMINE)</v>
    <v>43233</v>
    <v>61860</v>
    <v>1979</v>
  </rv>
  <rv s="2">
    <v>104</v>
  </rv>
  <rv s="0">
    <v>https://www.bing.com/financeapi/forcetrigger?t=ahh3a2&amp;q=XNSE%3aBAJAJFINSV&amp;form=skydnc</v>
    <v>Learn more on Bing</v>
  </rv>
  <rv s="1">
    <v>en-IN</v>
    <v>ahh3a2</v>
    <v>268435456</v>
    <v>1</v>
    <v>Powered by Refinitiv</v>
    <v>0</v>
    <v>Bajaj Finserv Limited (XNSE:BAJAJFINSV)</v>
    <v>2</v>
    <v>3</v>
    <v>Finance</v>
    <v>4</v>
    <v>19325</v>
    <v>8960.0499999999993</v>
    <v>1.6932</v>
    <v>313.8</v>
    <v>1.9393000000000001E-2</v>
    <v>INR</v>
    <v>Bajaj Finserv Limited is a holding company for various financial services businesses. The Company is engaged in the business of promoting financial services such as finance, insurance, and wealth management, through its investments in subsidiaries and joint ventures. It is also engaged in the business of generating power through wind turbines, a renewable source of energy. Its segments include life insurance, general insurance, windmill, retail financing, and investments and others. The Company focuses on six categories: consumer lending, small and medium enterprise (SME) lending, rural lending, mortgages, loan against securities, and commercial lending. It serves various customers through its subsidiaries by providing financial products and services for asset acquisition through financing, asset protection through general insurance, family and income protection in the form of life and health insurance, and retirement and savings solutions. Its subsidiary is Bajaj Finserv Direct Ltd.</v>
    <v>105</v>
    <v>National Stock Exchange of India</v>
    <v>XNSE</v>
    <v>XNSE</v>
    <v>6th Floor, Bajaj Finserv Corporate Office, Off Pune-Ahmednagar Road, Viman Nagar, PUNE, MAHARASHTRA, 411014 IN</v>
    <v>16590</v>
    <v>Insurance</v>
    <v>Stock</v>
    <v>44642.471817129626</v>
    <v>106</v>
    <v>15951</v>
    <v>2571833000000</v>
    <v>Bajaj Finserv Limited</v>
    <v>Bajaj Finserv Limited</v>
    <v>16250</v>
    <v>61.54</v>
    <v>16180.8</v>
    <v>16494.599999999999</v>
    <v>158943500</v>
    <v>BAJAJFINSV</v>
    <v>Bajaj Finserv Limited (XNSE:BAJAJFINSV)</v>
    <v>265279</v>
    <v>351520</v>
    <v>2007</v>
  </rv>
  <rv s="2">
    <v>107</v>
  </rv>
  <rv s="0">
    <v>https://www.bing.com/financeapi/forcetrigger?t=ahkau2&amp;q=XNSE%3aTCS&amp;form=skydnc</v>
    <v>Learn more on Bing</v>
  </rv>
  <rv s="1">
    <v>en-IN</v>
    <v>ahkau2</v>
    <v>268435456</v>
    <v>1</v>
    <v>Powered by Refinitiv</v>
    <v>0</v>
    <v>TATA CONSULTANCY SERVICES LIMITED (XNSE:TCS)</v>
    <v>2</v>
    <v>3</v>
    <v>Finance</v>
    <v>4</v>
    <v>4043</v>
    <v>3004</v>
    <v>0.64159999999999995</v>
    <v>74.25</v>
    <v>2.0472999999999998E-2</v>
    <v>INR</v>
    <v>Tata Consultancy Services Limited (TCS) is an India-based company engaged in providing information technology (IT) services, digital and business solutions. The Company's segments include Banking, Financial Services and Insurance, Manufacturing, Retail and Consumer Business, Communication, Media and Technology, Life Sciences and Healthcare and Others. The Company’s products include TCS BaNCS, TCS Connected Intelligence Platform, ignio, TCS iON, TCS MasterCraft, TAP, CHROMA, TCS Customer Intelligence &amp; Insights, TCS Intelligent Urban Exchange, Jile, TCS OmniStore, Quartz and The Smart Ledgers. Its platforms include TCS ADD TCS BFSI Platforms ERP on Cloud and TCS HOBS. Its services portfolio consists of IT and assurance services, business intelligence and performance management, business process services, cloud services, connected marketing solutions, mobility products and services and platform solutions. It serves industries, including insurance, healthcare, retail, telecom and others.</v>
    <v>556986</v>
    <v>National Stock Exchange of India</v>
    <v>XNSE</v>
    <v>XNSE</v>
    <v>TCS House, Raveline Street,, Fort,, MUMBAI, MAHARASHTRA, 400001 IN</v>
    <v>3711</v>
    <v>Software &amp; IT Services</v>
    <v>Stock</v>
    <v>44642.471724537034</v>
    <v>109</v>
    <v>3625</v>
    <v>13415350000000</v>
    <v>TATA CONSULTANCY SERVICES LIMITED</v>
    <v>TATA CONSULTANCY SERVICES LIMITED</v>
    <v>3640</v>
    <v>35.64</v>
    <v>3626.7</v>
    <v>3700.95</v>
    <v>3699051000</v>
    <v>TCS</v>
    <v>TATA CONSULTANCY SERVICES LIMITED (XNSE:TCS)</v>
    <v>2907611</v>
    <v>2722520</v>
    <v>1995</v>
  </rv>
  <rv s="2">
    <v>110</v>
  </rv>
  <rv s="0">
    <v>https://www.bing.com/financeapi/forcetrigger?t=ahka77&amp;q=XNSE%3aTATASTLLP&amp;form=skydnc</v>
    <v>Learn more on Bing</v>
  </rv>
  <rv s="1">
    <v>en-IN</v>
    <v>ahka77</v>
    <v>268435456</v>
    <v>1</v>
    <v>Powered by Refinitiv</v>
    <v>0</v>
    <v>TATA STEEL LONG PRODUCTS LIMITED (XNSE:TATASTLLP)</v>
    <v>2</v>
    <v>3</v>
    <v>Finance</v>
    <v>4</v>
    <v>1173</v>
    <v>625</v>
    <v>1.3864000000000001</v>
    <v>5.25</v>
    <v>6.9630000000000004E-3</v>
    <v>INR</v>
    <v>Tata Steel Long Products Limited is an India-based specialty steel manufacturer. The Company manufactures high-alloy steel for various industrial uses, including automotive, construction and infrastructure, general engineering, railways and agriculture segments. Its product range includes high-end steel products for segments, like forgings, bearings, fasteners and free cutting. It is engaged in steel manufacturing from mining and processing iron ore to producing and distributing steel-based long products. The Company also has sponge iron manufacturing facility and power plants generating power from waste heat and thermal coal. Its products and solutions include steel, sponge iron and wire rods. Its steel manufacturing facility is located in Gamharia, Jharkhand, which comprises a pellet plant, sinter plant, oxygen plant, lime kiln plant, coke oven, sponge iron plant consisting of about five kilns, two blast furnaces and a steel melting shop.</v>
    <v>2395</v>
    <v>National Stock Exchange of India</v>
    <v>XNSE</v>
    <v>XNSE</v>
    <v>P.O. Joda, KEONJHARGARH, ORISSA, 758034 IN</v>
    <v>773</v>
    <v>Metals &amp; Mining</v>
    <v>Stock</v>
    <v>44642.471516203703</v>
    <v>112</v>
    <v>754</v>
    <v>34005400000</v>
    <v>TATA STEEL LONG PRODUCTS LIMITED</v>
    <v>TATA STEEL LONG PRODUCTS LIMITED</v>
    <v>754</v>
    <v>3.74</v>
    <v>754</v>
    <v>759.25</v>
    <v>45100000</v>
    <v>TATASTLLP</v>
    <v>TATA STEEL LONG PRODUCTS LIMITED (XNSE:TATASTLLP)</v>
    <v>107261</v>
    <v>80690</v>
    <v>1982</v>
  </rv>
  <rv s="2">
    <v>113</v>
  </rv>
  <rv s="0">
    <v>https://www.bing.com/financeapi/forcetrigger?t=c2k8c7&amp;q=XNSE%3aKIMS&amp;form=skydnc</v>
    <v>Learn more on Bing</v>
  </rv>
  <rv s="8">
    <v>en-IN</v>
    <v>c2k8c7</v>
    <v>268435456</v>
    <v>1</v>
    <v>Powered by Refinitiv</v>
    <v>14</v>
    <v>KRISHNA INSTITUTE OF MEDICAL SCIENCES LIMITED (XNSE:KIMS)</v>
    <v>2</v>
    <v>15</v>
    <v>Finance</v>
    <v>4</v>
    <v>1565</v>
    <v>937.55</v>
    <v>6.05</v>
    <v>4.5069999999999997E-3</v>
    <v>INR</v>
    <v>Krishna Institute of Medical Sciences Ltd is an India-based company, engaged in the business of rendering medical and healthcare services. The Company’s departments include accident, Alzheimer center, andrology and infertility center, pediatric obesity, pediatric oncology, pediatric oncology and hematology center, pediatric orthopedics and rheumatology, pediatric renal center, pediatric surgical center, female urology center, fertility center, gastrointestinal oncology, general surgery, heart wellness center and hepatobiliary surgery center. The Company’s institutes include the institute of Cardiac Sciences, Institute of Dental Science, Institute of Gastroenterology &amp; Hepatology, Institute of Heart &amp; Lung Transplantation, Institute of Neuro Sciences, Institute of Oncological Sciences, Institute of Organ Transplantation, Institute of Orthopedic Sciences, Institute of Pediatrics, Institute of Renal Sciences, Institute of Reproductive Sciences and Institute of Robotic Sciences.</v>
    <v>National Stock Exchange of India</v>
    <v>XNSE</v>
    <v>XNSE</v>
    <v>1-8-31/1, Minister Rd, Krishna Nagar Colony, Begumpet, SECUNDERABAD, TELANGANA, 500003 IN</v>
    <v>1356.5</v>
    <v>Healthcare Providers &amp; Services</v>
    <v>Stock</v>
    <v>44642.471585648149</v>
    <v>115</v>
    <v>1342.8</v>
    <v>107429300000</v>
    <v>KRISHNA INSTITUTE OF MEDICAL SCIENCES LIMITED</v>
    <v>KRISHNA INSTITUTE OF MEDICAL SCIENCES LIMITED</v>
    <v>1350</v>
    <v>34.26</v>
    <v>1342.4</v>
    <v>1348.45</v>
    <v>80027790</v>
    <v>KIMS</v>
    <v>KRISHNA INSTITUTE OF MEDICAL SCIENCES LIMITED (XNSE:KIMS)</v>
    <v>25092</v>
    <v>162970</v>
    <v>1973</v>
  </rv>
  <rv s="2">
    <v>116</v>
  </rv>
  <rv s="0">
    <v>https://www.bing.com/financeapi/forcetrigger?t=ahkaa2&amp;q=XNSE%3aTATASTEEL&amp;form=skydnc</v>
    <v>Learn more on Bing</v>
  </rv>
  <rv s="1">
    <v>en-IN</v>
    <v>ahkaa2</v>
    <v>268435456</v>
    <v>1</v>
    <v>Powered by Refinitiv</v>
    <v>0</v>
    <v>TATA STEEL LIMITED (XNSE:TATASTEEL)</v>
    <v>2</v>
    <v>3</v>
    <v>Finance</v>
    <v>4</v>
    <v>1534.5</v>
    <v>688.35</v>
    <v>1.2746</v>
    <v>-0.95</v>
    <v>-7.291E-4</v>
    <v>INR</v>
    <v>Tata Steel Limited is an India-based steel manufacturing company. The Company is engaged in the business of steel making, including raw material and finishing operations. Its products include hot-rolled (HR), cold-rolled (CR), coated coils and sheets, coated steel coils and sheets, precision tubes, tyre bead wires, spring wires, bearings, galvanized iron (gi), wires, agricultural and garden tools, conveyance tubes. Its segments include Agriculture, Automotive, Steels, Construction, Consumer Goods, Energy and Power, Engineering, Material Handling. The Company operates under the brands Tata Agrico/ Agriculture, Construction &amp; Hand Tools, Tata Astrum, Tata Bearings, Tata Ferro Alloys and Minerals Division, Tata Steel Industrial By-products Management Division (IBMD), Tata Pipes, Tata Precision and others.</v>
    <v>73962</v>
    <v>National Stock Exchange of India</v>
    <v>XNSE</v>
    <v>XNSE</v>
    <v>2nd Floor, Bombay House, 24 Homi Mody Street, Fort, MUMBAI, MAHARASHTRA, 400001 IN</v>
    <v>1330</v>
    <v>Metals &amp; Mining</v>
    <v>Stock</v>
    <v>44642.471562500003</v>
    <v>118</v>
    <v>1288.05</v>
    <v>1591305000000</v>
    <v>TATA STEEL LIMITED</v>
    <v>TATA STEEL LIMITED</v>
    <v>1320</v>
    <v>3.17</v>
    <v>1302.95</v>
    <v>1302</v>
    <v>1221544000</v>
    <v>TATASTEEL</v>
    <v>TATA STEEL LIMITED (XNSE:TATASTEEL)</v>
    <v>8179588</v>
    <v>9288070</v>
    <v>1907</v>
  </rv>
  <rv s="2">
    <v>119</v>
  </rv>
  <rv s="0">
    <v>http://en.wikipedia.org/wiki/Infosys</v>
    <v>Wikipedia</v>
  </rv>
  <rv s="4">
    <v>30</v>
    <v>121</v>
  </rv>
  <rv s="5">
    <v>11</v>
    <v>https://www.bing.com/th?id=AMMS_b5caa81950e75d64490fd060984642b9&amp;qlt=95</v>
    <v>122</v>
    <v>0</v>
    <v>https://www.bing.com/images/search?form=xlimg&amp;q=infosys</v>
    <v>Image of INFOSYS LIMITED</v>
  </rv>
  <rv s="0">
    <v>https://www.bing.com/financeapi/forcetrigger?t=ahicim&amp;q=XNSE%3aINFY&amp;form=skydnc</v>
    <v>Learn more on Bing</v>
  </rv>
  <rv s="6">
    <v>en-IN</v>
    <v>ahicim</v>
    <v>268435456</v>
    <v>1</v>
    <v>Powered by Refinitiv</v>
    <v>7</v>
    <v>INFOSYS LIMITED (XNSE:INFY)</v>
    <v>9</v>
    <v>10</v>
    <v>Finance</v>
    <v>4</v>
    <v>1953.9</v>
    <v>1311.3</v>
    <v>0.63149999999999995</v>
    <v>34.35</v>
    <v>1.8536999999999998E-2</v>
    <v>INR</v>
    <v>Infosys Limited is engaged in consulting, technology, outsourcing, and next-generation digital services. Its segments are enterprises in Financial Services and Insurance; enterprises in Manufacturing; enterprises in Retail, Consumer Packaged Goods and Logistics; enterprises in the Energy, Utilities, Resources and Services; enterprises in Communication, Telecom OEM and Media; enterprises in Hi-Tech; enterprises in Life Sciences and Healthcare; and all other segments. All other segments represent the operating segments of businesses in India, Japan, China, Infosys Public Services, and other enterprises in public services. Its core services include application management services, proprietary application development services, independent validation solutions, product engineering and management, infrastructure management services, traditional enterprise application implementation, and support and integration services. Its products and platforms include Finacle, Panaya, Skava, and LEAP.</v>
    <v>292067</v>
    <v>National Stock Exchange of India</v>
    <v>XNSE</v>
    <v>XNSE</v>
    <v>Electronics City Hosur Rd, BANGALORE, KARNATAKA, 560100 IN</v>
    <v>1890</v>
    <v>123</v>
    <v>Software &amp; IT Services</v>
    <v>Stock</v>
    <v>44642.471516203703</v>
    <v>124</v>
    <v>1839</v>
    <v>7768512000000</v>
    <v>INFOSYS LIMITED</v>
    <v>INFOSYS LIMITED</v>
    <v>1850</v>
    <v>36.380000000000003</v>
    <v>1853.05</v>
    <v>1887.4</v>
    <v>4192284000</v>
    <v>INFY</v>
    <v>INFOSYS LIMITED (XNSE:INFY)</v>
    <v>5709382</v>
    <v>9098410</v>
    <v>1981</v>
  </rv>
  <rv s="2">
    <v>125</v>
  </rv>
  <rv s="0">
    <v>https://www.bing.com/financeapi/forcetrigger?t=ahk6a2&amp;q=XNSE%3aSUNPHARMA&amp;form=skydnc</v>
    <v>Learn more on Bing</v>
  </rv>
  <rv s="1">
    <v>en-IN</v>
    <v>ahk6a2</v>
    <v>268435456</v>
    <v>1</v>
    <v>Powered by Refinitiv</v>
    <v>0</v>
    <v>SUN PHARMACEUTICAL INDUSTRIES LIMITED (XNSE:SUNPHARMA)</v>
    <v>2</v>
    <v>3</v>
    <v>Finance</v>
    <v>4</v>
    <v>931</v>
    <v>571.5</v>
    <v>0.65410000000000001</v>
    <v>0.3</v>
    <v>3.2829999999999996E-4</v>
    <v>INR</v>
    <v>Sun Pharmaceutical Industries Limited is a specialty generic pharmaceutical company. The Company is engaged in the business of manufacturing, developing and marketing a range of generic formulations. It produces a portfolio of generic and specialty medicines targeting a spectrum of chronic and acute treatments. The Company’s product portfolio includes generics, branded generics, specialty, over the counter (OTC)/consumer healthcare products, anti-retrovirals (ARVs), active pharmaceutical ingredients (APIs) and intermediates. Its OTC brands includes Faringosept , Revital, and Volini. The Company offers its products in variety of dosage forms, such as tablets, capsules, sprays, injectables, inhalers, ointments, creams and liquids. Its portfolio of specialty products, branded generics are available across 100 countries. The Company operates manufacturing sites across 6 continents.</v>
    <v>37000</v>
    <v>National Stock Exchange of India</v>
    <v>XNSE</v>
    <v>XNSE</v>
    <v>Sun House, CTS No. 201 B/1,, Western Express Highway,, Goregaon (E), MUMBAI, MAHARASHTRA, 400063 IN</v>
    <v>922</v>
    <v>Pharmaceuticals</v>
    <v>Stock</v>
    <v>44642.471562500003</v>
    <v>127</v>
    <v>902.5</v>
    <v>2192512000000</v>
    <v>SUN PHARMACEUTICAL INDUSTRIES LIMITED</v>
    <v>SUN PHARMACEUTICAL INDUSTRIES LIMITED</v>
    <v>913.8</v>
    <v>34.07</v>
    <v>913.8</v>
    <v>914.1</v>
    <v>2399335000</v>
    <v>SUNPHARMA</v>
    <v>SUN PHARMACEUTICAL INDUSTRIES LIMITED (XNSE:SUNPHARMA)</v>
    <v>2174495</v>
    <v>4569820</v>
    <v>1993</v>
  </rv>
  <rv s="2">
    <v>128</v>
  </rv>
  <rv s="0">
    <v>https://www.bing.com/financeapi/forcetrigger?t=bsh8p2&amp;q=XNSE%3aFLUOROCHEM&amp;form=skydnc</v>
    <v>Learn more on Bing</v>
  </rv>
  <rv s="3">
    <v>en-IN</v>
    <v>bsh8p2</v>
    <v>268435456</v>
    <v>1</v>
    <v>Powered by Refinitiv</v>
    <v>5</v>
    <v>GUJARAT FLUOROCHEMICALS LIMITED (XNSE:FLUOROCHEM)</v>
    <v>2</v>
    <v>6</v>
    <v>Finance</v>
    <v>4</v>
    <v>3198.9</v>
    <v>565.79999999999995</v>
    <v>-66.5</v>
    <v>-2.2109999999999998E-2</v>
    <v>INR</v>
    <v>Gujarat Fluorochemicals Ltd is an India-based chemicals company engaged in manufacturing fluoropolymers, fluorospecialities, refrigerants and chemicals. The Company’s products categories include fluoropolymers, specialty fluorintermediates, refrigerant gases and commodity chemicals. It offers polytetrafluoroethylene (PTFE) resins under the brand name INOFLON. Its fluoropolymers products include granular PTFE, fine powder PTFE and aqueous dispersion PTFE. Refrigerant gases manufacturer of HCFC 22 in India, and supplier for original equipment manufacturer (OEM) and service worldwide. It also offers a range of applications, including HCFC 22, HFC 125, HCFC 32, HFC 134a, HFC 410a (blend of R 125 and R 32) and HFC 407c (Blend of R 125, R 32 and R 134a). The Company is a producer of industrial and essential chemicals for the pharmaceutical, agrochemical and plastic sectors.</v>
    <v>2220</v>
    <v>National Stock Exchange of India</v>
    <v>XNSE</v>
    <v>XNSE</v>
    <v>INOX Towers, Plot No. 17, Sector 16-A, NOIDA, UTTAR PRADESH, 201301 IN</v>
    <v>3045</v>
    <v>Chemicals</v>
    <v>Stock</v>
    <v>44642.471770833334</v>
    <v>130</v>
    <v>2920</v>
    <v>330390300000</v>
    <v>GUJARAT FLUOROCHEMICALS LIMITED</v>
    <v>GUJARAT FLUOROCHEMICALS LIMITED</v>
    <v>3007.65</v>
    <v>71.790000000000006</v>
    <v>3007.65</v>
    <v>2941.15</v>
    <v>109850000</v>
    <v>FLUOROCHEM</v>
    <v>GUJARAT FLUOROCHEMICALS LIMITED (XNSE:FLUOROCHEM)</v>
    <v>30250</v>
    <v>57170</v>
    <v>2018</v>
  </rv>
  <rv s="2">
    <v>131</v>
  </rv>
  <rv s="0">
    <v>https://www.bing.com/financeapi/forcetrigger?t=ahiiec&amp;q=XNSE%3aJPPOWER&amp;form=skydnc</v>
    <v>Learn more on Bing</v>
  </rv>
  <rv s="1">
    <v>en-IN</v>
    <v>ahiiec</v>
    <v>268435456</v>
    <v>1</v>
    <v>Powered by Refinitiv</v>
    <v>0</v>
    <v>JAIPRAKASH POWER VENTURES LIMITED (XNSE:JPPOWER)</v>
    <v>2</v>
    <v>3</v>
    <v>Finance</v>
    <v>4</v>
    <v>11.15</v>
    <v>2.65</v>
    <v>2.0451999999999999</v>
    <v>-0.05</v>
    <v>-7.143E-3</v>
    <v>INR</v>
    <v>Jaiprakash Power Ventures Limited is engaged in the business of generation of Thermal and Hydro Power, cement grinding, and Captive Coal Mining. The Company owns and operates 400 megawatt (MW) Jaypee Vishnuprayag Hydro Electric Plant at District Chamoli, Uttarakhand, 1320 MW Jaypee Nigrie Super Thermal Power Plant at Nigrie, Distt. Singrauli, M.P., 500 MW Jaypee Bina Thermal Power Plant at Village. Sirchopi, Distt. Sagar, M.P. The Company is operating Cement Grinding Unit (2 MTPA) at Nigrie, Distt. Singrauli (M.P.). Its offers various products and services such as Hydro and Thermal Power Generation, Captive Coal Mining, and Cement Grinding. It serves various markets in major states/units such as Madhya Pradesh and Uttar Pradesh. The Company’s subsidiary include Jaypee Powergrid Limited, Jaypee Arunachal Power Limited, Sangam Power Generation Company Limited, Jaypee Meghalaya Power Limited and Bina Power Supply Limited.</v>
    <v>1766</v>
    <v>National Stock Exchange of India</v>
    <v>XNSE</v>
    <v>XNSE</v>
    <v>JA House, 53, Basant Lok,, Vasant Vihar, NEW DELHI, DELHI, 110057 IN</v>
    <v>7.05</v>
    <v>Electrical Utilities &amp; IPPs</v>
    <v>Stock</v>
    <v>44642.471724537034</v>
    <v>133</v>
    <v>6.9</v>
    <v>47974210000</v>
    <v>JAIPRAKASH POWER VENTURES LIMITED</v>
    <v>JAIPRAKASH POWER VENTURES LIMITED</v>
    <v>7</v>
    <v>20.85</v>
    <v>7</v>
    <v>6.95</v>
    <v>6853459000</v>
    <v>JPPOWER</v>
    <v>JAIPRAKASH POWER VENTURES LIMITED (XNSE:JPPOWER)</v>
    <v>25864257</v>
    <v>34918700</v>
    <v>1994</v>
  </rv>
  <rv s="2">
    <v>134</v>
  </rv>
  <rv s="0">
    <v>https://www.bing.com/financeapi/forcetrigger?t=azlv5r&amp;q=XNSE%3aLEMONTREE&amp;form=skydnc</v>
    <v>Learn more on Bing</v>
  </rv>
  <rv s="1">
    <v>en-IN</v>
    <v>azlv5r</v>
    <v>268435456</v>
    <v>1</v>
    <v>Powered by Refinitiv</v>
    <v>0</v>
    <v>LEMON TREE HOTELS LIMITED (XNSE:LEMONTREE)</v>
    <v>2</v>
    <v>3</v>
    <v>Finance</v>
    <v>4</v>
    <v>61.2</v>
    <v>27</v>
    <v>1.4140999999999999</v>
    <v>1.4</v>
    <v>2.6515E-2</v>
    <v>INR</v>
    <v>Lemon Tree Hotels Limited is an India-based hotel chain company. The Company operates in the upscale segment and in the mid-market sector, which consists of the upper-midscale, midscale and economy segments. The Company’s operates through various brands, including Aurika Hotels and Resorts, Lemon Tree Premier, Lemon Tree Hotels, Red Fox Hotels, Keys Prima, Keys Select and Keys Lite. It operates over 8,500 rooms in approximately 87 hotels across 54 destinations in India and abroad. The Company’s hotels are located across India in metro regions, including the National Capital Region (NCR), Mumbai, Kolkata, Bengaluru, Hyderabad and Chennai, as well as numerous other tier I and II cities, such as Pune, Ahmedabad, Chandigarh, Jaipur, Indore, Aurangabad, Udaipur, Vishakhapatnam, Kochi, Ludhiana, Thiruvananthapuram and Vijayawada.</v>
    <v>5177</v>
    <v>National Stock Exchange of India</v>
    <v>XNSE</v>
    <v>XNSE</v>
    <v>Asset No. 6, Aerocity Hospitality District, IGI Airport, NEW DELHI, DELHI, 110037 IN</v>
    <v>54.6</v>
    <v>Hotels &amp; Entertainment Services</v>
    <v>Stock</v>
    <v>44642.471539351849</v>
    <v>136</v>
    <v>52.45</v>
    <v>41742470000</v>
    <v>LEMON TREE HOTELS LIMITED</v>
    <v>LEMON TREE HOTELS LIMITED</v>
    <v>53.1</v>
    <v>0</v>
    <v>52.8</v>
    <v>54.2</v>
    <v>790577100</v>
    <v>LEMONTREE</v>
    <v>LEMON TREE HOTELS LIMITED (XNSE:LEMONTREE)</v>
    <v>4509459</v>
    <v>8936960</v>
    <v>1992</v>
  </rv>
  <rv s="2">
    <v>137</v>
  </rv>
  <rv s="0">
    <v>https://www.bing.com/financeapi/forcetrigger?t=ahi3dm&amp;q=XNSE%3aHCLTECH&amp;form=skydnc</v>
    <v>Learn more on Bing</v>
  </rv>
  <rv s="1">
    <v>en-IN</v>
    <v>ahi3dm</v>
    <v>268435456</v>
    <v>1</v>
    <v>Powered by Refinitiv</v>
    <v>0</v>
    <v>HCL TECHNOLOGIES LIMITED (XNSE:HCLTECH)</v>
    <v>2</v>
    <v>3</v>
    <v>Finance</v>
    <v>4</v>
    <v>1377.75</v>
    <v>891</v>
    <v>0.85860000000000003</v>
    <v>8.35</v>
    <v>7.149E-3</v>
    <v>INR</v>
    <v>HCL Technologies Limited is an India-based technology company. The Company offers its services and products through three business segments: IT and Business Services (ITBS), Engineering and R&amp;D Services (ERS) and Products &amp; Platforms (P&amp;P). ITBS segment provides a portfolio of information technology (IT) and business services, including application, infrastructure and digital process operations and digital transformation services enabled by digital and analytics, IoTWoRKs, cloud native and cybersecurity solutions including products developed within these businesses. ERS segment provides engineering services and solutions across software, embedded, mechanical, very large-scale integration (VLSI) and platform engineering that support the end-to-end lifecycle of products, including both hardware and software across diverse industries. P&amp;P segment provides modernized software products to global clients for their technology and industry-specific requirements.</v>
    <v>187634</v>
    <v>National Stock Exchange of India</v>
    <v>XNSE</v>
    <v>XNSE</v>
    <v>Technology Hub, SEZ, Plot No. 3A, Sector 126, NOIDA, UTTAR PRADESH, 201304 IN</v>
    <v>1181.75</v>
    <v>Software &amp; IT Services</v>
    <v>Stock</v>
    <v>44642.471643518518</v>
    <v>139</v>
    <v>1162.3</v>
    <v>3169697000000</v>
    <v>HCL TECHNOLOGIES LIMITED</v>
    <v>HCL TECHNOLOGIES LIMITED</v>
    <v>1170</v>
    <v>0</v>
    <v>1168.05</v>
    <v>1176.4000000000001</v>
    <v>2713665000</v>
    <v>HCLTECH</v>
    <v>HCL TECHNOLOGIES LIMITED (XNSE:HCLTECH)</v>
    <v>4516870</v>
    <v>4111350</v>
    <v>1991</v>
  </rv>
  <rv s="2">
    <v>140</v>
  </rv>
  <rv s="0">
    <v>https://www.bing.com/financeapi/forcetrigger?t=ahj4rw&amp;q=XNSE%3aNAVINFLUOR&amp;form=skydnc</v>
    <v>Learn more on Bing</v>
  </rv>
  <rv s="1">
    <v>en-IN</v>
    <v>ahj4rw</v>
    <v>268435456</v>
    <v>1</v>
    <v>Powered by Refinitiv</v>
    <v>0</v>
    <v>NAVIN FLUORINE INTERNATIONAL LIMITED (XNSE:NAVINFLUOR)</v>
    <v>2</v>
    <v>3</v>
    <v>Finance</v>
    <v>4</v>
    <v>4329</v>
    <v>2416.0500000000002</v>
    <v>0.75290000000000001</v>
    <v>-60.25</v>
    <v>-1.4615E-2</v>
    <v>INR</v>
    <v>Navin Fluorine International Limited is an India-based company that is primarily focused on fluorine chemistry, which produces refrigeration gases, inorganic fluorides, specialty organofluorines. The Company operates through the Chemical Business segment. It has two geographical segments based upon the location of its customers, which include within India and outside India. It is the manufacturer of specialty fluorochemicals, which comprises synthetic cryolite, fluorocarbon gases, and hydrofluoric acid and other fluorine chemicals. It offers contract research and manufacturing services. The Company has anhydrous hydrofluoric and diluted hydrofluoric acid manufacturing capacities in India with a multi-product portfolio. It serves industries, including stainless steel, glass, oil and gas, abrasives, electronic products, and life and crop science, among others. The Company’s manufacturing facilities are located at Surat in Gujarat and Dewas in Madhya Pradesh.</v>
    <v>859</v>
    <v>National Stock Exchange of India</v>
    <v>XNSE</v>
    <v>XNSE</v>
    <v>2nd Floor, Sunteck Centre,, 37/40, Subhash Road,, Vile Parle (East),, MUMBAI, MAHARASHTRA, 400057 IN</v>
    <v>4135</v>
    <v>Chemicals</v>
    <v>Stock</v>
    <v>44642.471782407411</v>
    <v>142</v>
    <v>3985.05</v>
    <v>204287800000</v>
    <v>NAVIN FLUORINE INTERNATIONAL LIMITED</v>
    <v>NAVIN FLUORINE INTERNATIONAL LIMITED</v>
    <v>4125</v>
    <v>77.69</v>
    <v>4122.6000000000004</v>
    <v>4062.35</v>
    <v>49553150</v>
    <v>NAVINFLUOR</v>
    <v>NAVIN FLUORINE INTERNATIONAL LIMITED (XNSE:NAVINFLUOR)</v>
    <v>132738</v>
    <v>274740</v>
    <v>1998</v>
  </rv>
  <rv s="2">
    <v>143</v>
  </rv>
  <rv s="0">
    <v>https://www.bing.com/financeapi/forcetrigger?t=ahk3nm&amp;q=XNSE%3aSRF&amp;form=skydnc</v>
    <v>Learn more on Bing</v>
  </rv>
  <rv s="1">
    <v>en-IN</v>
    <v>ahk3nm</v>
    <v>268435456</v>
    <v>1</v>
    <v>Powered by Refinitiv</v>
    <v>0</v>
    <v>SRF LIMITED (XNSE:SRF)</v>
    <v>2</v>
    <v>3</v>
    <v>Finance</v>
    <v>4</v>
    <v>2680</v>
    <v>1045</v>
    <v>1.0817000000000001</v>
    <v>25</v>
    <v>9.5949999999999994E-3</v>
    <v>INR</v>
    <v>SRF Limited is a chemical-based multi-business conglomerate company. The Company is engaged in the manufacturing of industrial and specialty intermediates. The Company classifies its businesses as Technical Textiles, Chemicals, Packaging Films, and Other Businesses. The Technical Textiles include Tyre Cord Fabrics, Belting Fabrics, and Industrial Yarn. The Chemicals include Fluorochemicals and Specialty Chemicals. The Packaging Films include Polyester Films viz. BOPET (Biaxially-oriented polyethylene terephthalate) and BOPP (Biaxially oriented polypropylene film). Its chemicals and polymers plants are located at Alwar, Rajasthan; Udham Singh Nagar; Uttarakhand, and Bharuch, Gujarat. Its technical textiles plants are located at Chennai, Tamil Nadu; Bhind, Madhya Pradesh; Thiruvallur, Tamil Nadu; Pudukottai, Tamil Nadu, and Udham Singh Nagar and Uttarakhand. The Company’s subsidiary includes SRF Industries (Thailand) Ltd., Thailand Packaging Films and South Africa Packaging Films.</v>
    <v>6386</v>
    <v>National Stock Exchange of India</v>
    <v>XNSE</v>
    <v>XNSE</v>
    <v>Block-C, Sector - 45, GURGAON, HARYANA, 122003 IN</v>
    <v>2653.95</v>
    <v>Chemicals</v>
    <v>Stock</v>
    <v>44642.471550925926</v>
    <v>145</v>
    <v>2560.4</v>
    <v>772310200000</v>
    <v>SRF LIMITED</v>
    <v>SRF LIMITED</v>
    <v>2613.9499999999998</v>
    <v>24.16</v>
    <v>2605.4499999999998</v>
    <v>2630.45</v>
    <v>296421000</v>
    <v>SRF</v>
    <v>SRF LIMITED (XNSE:SRF)</v>
    <v>729721</v>
    <v>935590</v>
    <v>1970</v>
  </rv>
  <rv s="2">
    <v>146</v>
  </rv>
  <rv s="0">
    <v>https://www.bing.com/financeapi/forcetrigger?t=bptwfr&amp;q=XNSE%3aDALBHARAT&amp;form=skydnc</v>
    <v>Learn more on Bing</v>
  </rv>
  <rv s="8">
    <v>en-IN</v>
    <v>bptwfr</v>
    <v>268435456</v>
    <v>1</v>
    <v>Powered by Refinitiv</v>
    <v>14</v>
    <v>DALMIA BHARAT LIMITED (XNSE:DALBHARAT)</v>
    <v>2</v>
    <v>15</v>
    <v>Finance</v>
    <v>4</v>
    <v>2548.4</v>
    <v>1278.1500000000001</v>
    <v>-2.7</v>
    <v>-1.895E-3</v>
    <v>INR</v>
    <v>Dalmia Bharat Limited is an India-based cement manufacturing company. The Company is principally engaged in the business of manufacturing and selling of cement and its related products and refractory products. The Company’s segments include Cement division and Others. The Cement division is engaged in producing various grades of cement and its related products. The Company’s products include Ordinary Portland Cement (OPC), Portland Slag Cement (PSC), Portland Pozzolana Cement (PPC), Portland Composite Cement (PCC) and other specialty cements. Its specialty cements include sulphate resisting portland cement, railway sleeper cement, oil well cement and special cements for air strips and nuclear power plants construction. The Company’s brands include Dalmia DSP Cement, Dalmia Cement, Konark Cement, Dalmia Infra PRO, Dalmia Infra Green, Dalmia Insta Pro and Dalmia Magic. The Company offers its products to individual consumers and institutional customers.</v>
    <v>National Stock Exchange of India</v>
    <v>XNSE</v>
    <v>XNSE</v>
    <v>11th &amp; 12th Floors,, Hansalaya Building,, 15, Barakhamba Road,, NEW DELHI, DELHI, 110001 IN</v>
    <v>1431.95</v>
    <v>Construction Materials</v>
    <v>Stock</v>
    <v>44642.471666666665</v>
    <v>148</v>
    <v>1397.05</v>
    <v>267028500000</v>
    <v>DALMIA BHARAT LIMITED</v>
    <v>DALMIA BHARAT LIMITED</v>
    <v>1425.15</v>
    <v>22.84</v>
    <v>1425.15</v>
    <v>1422.45</v>
    <v>187368700</v>
    <v>DALBHARAT</v>
    <v>DALMIA BHARAT LIMITED (XNSE:DALBHARAT)</v>
    <v>208200</v>
    <v>422520</v>
    <v>2013</v>
  </rv>
  <rv s="2">
    <v>149</v>
  </rv>
  <rv s="0">
    <v>https://www.bing.com/financeapi/forcetrigger?t=bzs5r7&amp;q=XNSE%3aRAILTEL&amp;form=skydnc</v>
    <v>Learn more on Bing</v>
  </rv>
  <rv s="8">
    <v>en-IN</v>
    <v>bzs5r7</v>
    <v>268435456</v>
    <v>1</v>
    <v>Powered by Refinitiv</v>
    <v>14</v>
    <v>RAILTEL CORPORATION OF INDIA LIMITED (XNSE:RAILTEL)</v>
    <v>2</v>
    <v>15</v>
    <v>Finance</v>
    <v>4</v>
    <v>164.6</v>
    <v>87.2</v>
    <v>-1</v>
    <v>-1.1049999999999999E-2</v>
    <v>INR</v>
    <v>RailTel Corporation of India Limited is an India-based neutral telecom infrastructure provider, which owns pan-India optic fiber network on right of way (ROW) along railway track. The Company's segments include Telecom Services and Project Work Services. The Telecom Services segment provides a range of telecom services to its customers, which include managed data services, leased line, virtual private network, Internet leased line, data center, Tower collocation, Rack and space and national long-distance (NLD) for voice carriage. The Project Work Services segment includes various projects, such as national optical fiber network, telecom and information technology (IT) services related projects and enterprise-specific IT and information technology-enabled services (ITES) projects. The Company's OFC network covers towns and cities and several rural areas in India. The Company provides services to various other sectors, which include coal, banks, health and strategic sectors.</v>
    <v>National Stock Exchange of India</v>
    <v>XNSE</v>
    <v>XNSE</v>
    <v>Plot No, 143, Sector 44 Road, Sector 44, Gurgaon, HARYANA IN</v>
    <v>91</v>
    <v>Telecommunications Services</v>
    <v>Stock</v>
    <v>44642.471539351849</v>
    <v>151</v>
    <v>89.2</v>
    <v>29044930000</v>
    <v>RAILTEL CORPORATION OF INDIA LIMITED</v>
    <v>RAILTEL CORPORATION OF INDIA LIMITED</v>
    <v>91</v>
    <v>15.26</v>
    <v>90.5</v>
    <v>89.5</v>
    <v>320938400</v>
    <v>RAILTEL</v>
    <v>RAILTEL CORPORATION OF INDIA LIMITED (XNSE:RAILTEL)</v>
    <v>762732</v>
    <v>842050</v>
    <v>2000</v>
  </rv>
  <rv s="2">
    <v>152</v>
  </rv>
  <rv s="0">
    <v>https://www.bing.com/financeapi/forcetrigger?t=ahi62w&amp;q=XNSE%3aHINDUNILVR&amp;form=skydnc</v>
    <v>Learn more on Bing</v>
  </rv>
  <rv s="1">
    <v>en-IN</v>
    <v>ahi62w</v>
    <v>268435456</v>
    <v>1</v>
    <v>Powered by Refinitiv</v>
    <v>0</v>
    <v>HINDUSTAN UNILEVER LIMITED (XNSE:HINDUNILVR)</v>
    <v>2</v>
    <v>3</v>
    <v>Finance</v>
    <v>4</v>
    <v>2859.3</v>
    <v>1901.55</v>
    <v>0.25840000000000002</v>
    <v>-57.7</v>
    <v>-2.8130000000000002E-2</v>
    <v>INR</v>
    <v>Hindustan Unilever Limited is an India-based consumer goods company. The Company's segments are Home care, which includes detergent bars, detergent powders, detergent liquids, scourers, water business and purifiers business; Beauty &amp; Personal Care, which includes products in the categories of oral care, skin care, soaps, hair care, deodorants, talcum powder, color cosmetics and salon services; Foods &amp; Refreshment, which includes staples, culinary products, tea, coffee, health food drinks, ice-cream and frozen desserts, and Others, which includes exports and infant care products. The Company's portfolio includes household brands, such as Lux, Lifebuoy, Surf excel, Rin, Wheel, Glow &amp; Lovely, Pond’s, Vaseline, Lakme, Dove, Clinic Plus, Sunsilk, Pepsodent, Closeup, Axe, Brooke Bond, Bru, Knorr, Kissan, Kwality Wall’s, Horlicks and Pureit.</v>
    <v>21000</v>
    <v>National Stock Exchange of India</v>
    <v>XNSE</v>
    <v>XNSE</v>
    <v>Unilever House,, Secretarial Dept, Building 1, Level 3 (B1L3),, B D Sawant Marg, Chakala,, MUMBAI, MAHARASHTRA, 400099 IN</v>
    <v>2053.75</v>
    <v>Personal &amp; Household Products &amp; Services</v>
    <v>Stock</v>
    <v>44642.471516203703</v>
    <v>154</v>
    <v>1969</v>
    <v>4819482000000</v>
    <v>HINDUSTAN UNILEVER LIMITED</v>
    <v>HINDUSTAN UNILEVER LIMITED</v>
    <v>2053.75</v>
    <v>55.02</v>
    <v>2051.1999999999998</v>
    <v>1993.5</v>
    <v>2349591000</v>
    <v>HINDUNILVR</v>
    <v>HINDUSTAN UNILEVER LIMITED (XNSE:HINDUNILVR)</v>
    <v>5356303</v>
    <v>2802980</v>
    <v>1933</v>
  </rv>
  <rv s="2">
    <v>155</v>
  </rv>
  <rv s="0">
    <v>http://en.wikipedia.org/wiki/Hathway</v>
    <v>Wikipedia</v>
  </rv>
  <rv s="4">
    <v>30</v>
    <v>157</v>
  </rv>
  <rv s="5">
    <v>11</v>
    <v>https://www.bing.com/th?id=AMMS_1579e358145f285569d7cd3e54e42975&amp;qlt=95</v>
    <v>158</v>
    <v>0</v>
    <v>https://www.bing.com/images/search?form=xlimg&amp;q=hathway</v>
    <v>Image of HATHWAY CABLE AND DATACOM LIMITED</v>
  </rv>
  <rv s="0">
    <v>https://www.bing.com/financeapi/forcetrigger?t=ahi2pr&amp;q=XNSE%3aHATHWAY&amp;form=skydnc</v>
    <v>Learn more on Bing</v>
  </rv>
  <rv s="6">
    <v>en-IN</v>
    <v>ahi2pr</v>
    <v>268435456</v>
    <v>1</v>
    <v>Powered by Refinitiv</v>
    <v>7</v>
    <v>HATHWAY CABLE AND DATACOM LIMITED (XNSE:HATHWAY)</v>
    <v>9</v>
    <v>10</v>
    <v>Finance</v>
    <v>4</v>
    <v>30.35</v>
    <v>16.8</v>
    <v>0.79110000000000003</v>
    <v>-0.25</v>
    <v>-1.3123000000000001E-2</v>
    <v>INR</v>
    <v>Hathway Cable and Datacom Limited is an India-based holding company. The Company is primarily engaged in the distribution of Internet services and other allied services. It operates through the Broadband Business and Cable Television segment. The Company’s Broadband Business segment is a cable television services provider to offers high-speed cable broadband services over 16 cities (4 metros and 3 mini-metros). It provides programs, which include documentaries, TV shows, business and finance, sports, films and kids. The Company offers its cable television services to over 109 cities and towns operating in pan India regions. It offers home broadband and business broadband services. The Company offers fiber Internet services and multi-office connectivity under business broadband. It also provides an Internet Leased Line service. Its subsidiaries include Hathway New Concept Cable &amp; Datacom Limited, Hathway Software Developers Limited, Hathway Digital Limited and Hathway Broadband Limited.</v>
    <v>343</v>
    <v>National Stock Exchange of India</v>
    <v>XNSE</v>
    <v>XNSE</v>
    <v>Rahejas 4th Floor, Corner of Main Avenue &amp; V. P. Road, Santacruz (west), MUMBAI, MAHARASHTRA, 400054 IN</v>
    <v>19.05</v>
    <v>159</v>
    <v>Media &amp; Publishing</v>
    <v>Stock</v>
    <v>44642.47184027778</v>
    <v>160</v>
    <v>18.7</v>
    <v>33720490000</v>
    <v>HATHWAY CABLE AND DATACOM LIMITED</v>
    <v>HATHWAY CABLE AND DATACOM LIMITED</v>
    <v>19.05</v>
    <v>19.28</v>
    <v>19.05</v>
    <v>18.8</v>
    <v>1770104000</v>
    <v>HATHWAY</v>
    <v>HATHWAY CABLE AND DATACOM LIMITED (XNSE:HATHWAY)</v>
    <v>2290052</v>
    <v>2926530</v>
    <v>1959</v>
  </rv>
  <rv s="2">
    <v>161</v>
  </rv>
  <rv s="0">
    <v>https://www.bing.com/financeapi/forcetrigger?t=azjfim&amp;q=XNSE%3aHAL&amp;form=skydnc</v>
    <v>Learn more on Bing</v>
  </rv>
  <rv s="1">
    <v>en-IN</v>
    <v>azjfim</v>
    <v>268435456</v>
    <v>1</v>
    <v>Powered by Refinitiv</v>
    <v>0</v>
    <v>HINDUSTAN AERONAUTICS LIMITED (XNSE:HAL)</v>
    <v>2</v>
    <v>3</v>
    <v>Finance</v>
    <v>4</v>
    <v>1566</v>
    <v>929</v>
    <v>1.1801999999999999</v>
    <v>-31.45</v>
    <v>-2.1747000000000002E-2</v>
    <v>INR</v>
    <v>Hindustan Aeronautics Limited is an India-based aerospace and defense company. The Company designs and develops a range of aircrafts that include fighter aircrafts, trainer aircrafts, transport aircrafts, military helicopters, and civil helicopters. It also develops aircraft engines, avionics and accessories, such as special test equipment, ground handling equipment, and ground support equipment. The Company manufactures its aircraft using both indigenous and licensed Russian and Western origin technologies. Its range of aircrafts includes Su-30 MKI aircraft, Light Combat Aircraft (LCA) Tejas, Dornier Do-228 Aircraft, Advanced Light Helicopter (ALH) Dhruv, Light Combat Helicopter (LCH), Chetak helicopter, engines, accessories and aerospace structures. The Company has developed Basic Trainer Aircraft (HTT-40), Light Utility Helicopter (LUH), Light Combat Aircraft (LCA)- MK1A, Jaguar Darin III Upgrade, Hawk-i and development of engines.</v>
    <v>26432</v>
    <v>National Stock Exchange of India</v>
    <v>XNSE</v>
    <v>XNSE</v>
    <v>15/1, Cubbon Road, BANGALORE, KARNATAKA, 560001 IN</v>
    <v>1447</v>
    <v>Aerospace &amp; Defense</v>
    <v>Stock</v>
    <v>44642.471539351849</v>
    <v>163</v>
    <v>1398.05</v>
    <v>483591200000</v>
    <v>HINDUSTAN AERONAUTICS LIMITED</v>
    <v>HINDUSTAN AERONAUTICS LIMITED</v>
    <v>1447</v>
    <v>13.45</v>
    <v>1446.2</v>
    <v>1414.75</v>
    <v>334387500</v>
    <v>HAL</v>
    <v>HINDUSTAN AERONAUTICS LIMITED (XNSE:HAL)</v>
    <v>569579</v>
    <v>793360</v>
    <v>1963</v>
  </rv>
  <rv s="2">
    <v>164</v>
  </rv>
  <rv s="0">
    <v>https://www.bing.com/financeapi/forcetrigger?t=ahkok2&amp;q=XNSE%3aWIPRO&amp;form=skydnc</v>
    <v>Learn more on Bing</v>
  </rv>
  <rv s="1">
    <v>en-IN</v>
    <v>ahkok2</v>
    <v>268435456</v>
    <v>1</v>
    <v>Powered by Refinitiv</v>
    <v>0</v>
    <v>WIPRO LIMITED (XNSE:WIPRO)</v>
    <v>2</v>
    <v>3</v>
    <v>Finance</v>
    <v>4</v>
    <v>739.85</v>
    <v>397.75</v>
    <v>0.3967</v>
    <v>10.050000000000001</v>
    <v>1.6750000000000001E-2</v>
    <v>INR</v>
    <v>Wipro Limited is an India-based global information technology (IT), consulting and business process services company. The Company operates through three segments: IT Services, IT Products, and India State Run Enterprise segment (ISRE). The IT Services segment provides a range of IT and IT-enabled services, which includes e digital strategy advisory, customer-centric design, technology consulting, IT consulting, custom application design, development, re-engineering and maintenance, systems integration and package implementation and global infrastructure services. The IT Products segment provides a range of third-party IT products, which allows it to offer IT system integration services. These products include computing, platforms and storage, networking solutions, enterprise information security and software products. The ISRE segment consists of IT services offerings to organizations owned or controlled by the Government of India and/ or any Indian State Governments.</v>
    <v>231671</v>
    <v>National Stock Exchange of India</v>
    <v>XNSE</v>
    <v>XNSE</v>
    <v>Survey #76P &amp; #80P Doddakanahalli Villag, Varthur Hobli Sarjapur Rd Bangalore, BANGALORE, KARNATAKA, 560035 IN</v>
    <v>611</v>
    <v>Software &amp; IT Services</v>
    <v>Stock</v>
    <v>44642.471562500003</v>
    <v>166</v>
    <v>596.15</v>
    <v>3278665000000</v>
    <v>WIPRO LIMITED</v>
    <v>WIPRO LIMITED</v>
    <v>603.4</v>
    <v>27.15</v>
    <v>600</v>
    <v>610.04999999999995</v>
    <v>5464442000</v>
    <v>WIPRO</v>
    <v>WIPRO LIMITED (XNSE:WIPRO)</v>
    <v>7790250</v>
    <v>8262650</v>
    <v>1945</v>
  </rv>
  <rv s="2">
    <v>167</v>
  </rv>
  <rv s="0">
    <v>https://www.bing.com/financeapi/forcetrigger?t=ahin52&amp;q=XNSE%3aKNRCON&amp;form=skydnc</v>
    <v>Learn more on Bing</v>
  </rv>
  <rv s="1">
    <v>en-IN</v>
    <v>ahin52</v>
    <v>268435456</v>
    <v>1</v>
    <v>Powered by Refinitiv</v>
    <v>0</v>
    <v>KNR CONSTRUCTIONS LIMITED (XNSE:KNRCON)</v>
    <v>2</v>
    <v>3</v>
    <v>Finance</v>
    <v>4</v>
    <v>343.9</v>
    <v>188</v>
    <v>1.1964999999999999</v>
    <v>2.65</v>
    <v>9.495E-3</v>
    <v>INR</v>
    <v>KNR Constructions Limited is an India-based infrastructure company. The Company provides engineering, procurement and construction (EPC) services. The Company is engaged in the business of infrastructure sector, primarily in the construction of roads, bridges, flyovers and irrigation projects. The Company’s projects include Highway Projects, Irrigation and Water Management, River Bridges, and Urban Water Development. Its subsidiaries include KNR Agrotech &amp; Beverages Pvt. Ltd., KNR Infrastructure Projects Pvt. Ltd., KNR Energy Ltd., KNRC Holdings and Investments Pvt. Ltd., KNR Muzaffarpur-Barauni Tollway Pvt Ltd., KNR Tirumala Infra Pvt. Ltd., KNR Srirangam Infra Pvt. Ltd., KNR Shankarampet Projects Pvt. Ltd., KNR Somwarapet Infra Projects Pvt. Ltd., KNR Palani Infra Pvt. Ltd., KNR Muzaffarpur Holdings Pvt. Ltd., Mesmeric Software Solutions Pvt. Ltd., Nag Talent Ventures &amp; Infotech Pvt. Ltd., Gradient Estates Pvt. Ltd. and Asara Construction &amp; Projects Pvt. Ltd.</v>
    <v>2162</v>
    <v>National Stock Exchange of India</v>
    <v>XNSE</v>
    <v>XNSE</v>
    <v>KNR House, 3rd &amp; 4th Floor, Plot No. 114, Phase - I, Kavuri Hills, HYDERABAD, TELANGANA, 500033 IN</v>
    <v>283.14999999999998</v>
    <v>Construction &amp; Engineering</v>
    <v>Stock</v>
    <v>44642.471782407411</v>
    <v>169</v>
    <v>278.64999999999998</v>
    <v>78492580000</v>
    <v>KNR CONSTRUCTIONS LIMITED</v>
    <v>KNR CONSTRUCTIONS LIMITED</v>
    <v>279.8</v>
    <v>22.59</v>
    <v>279.10000000000002</v>
    <v>281.75</v>
    <v>281234600</v>
    <v>KNRCON</v>
    <v>KNR CONSTRUCTIONS LIMITED (XNSE:KNRCON)</v>
    <v>242944</v>
    <v>842590</v>
    <v>1995</v>
  </rv>
  <rv s="2">
    <v>170</v>
  </rv>
  <rv s="0">
    <v>https://www.bing.com/financeapi/forcetrigger?t=ahgv6h&amp;q=XNSE%3aAMBUJACEM&amp;form=skydnc</v>
    <v>Learn more on Bing</v>
  </rv>
  <rv s="1">
    <v>en-IN</v>
    <v>ahgv6h</v>
    <v>268435456</v>
    <v>1</v>
    <v>Powered by Refinitiv</v>
    <v>0</v>
    <v>AMBUJA CEMENTS LIMITED (XNSE:AMBUJACEM)</v>
    <v>2</v>
    <v>3</v>
    <v>Finance</v>
    <v>4</v>
    <v>442.5</v>
    <v>274</v>
    <v>0.82709999999999995</v>
    <v>0.55000000000000004</v>
    <v>1.8310000000000002E-3</v>
    <v>INR</v>
    <v>Ambuja Cements Limited is an India-based cement manufacturing company. The principal business of the Company is manufacturing and sale of cement and cement-related products. The Company's products and solutions include Ambuja Cement, Ambuja Kawach, Ambuja Plus, Ambuja Cool Walls, Ambuja Compocem, Ambuja Buildcem, Ambuja Powercem, Ambuja Railcem and Alccofine. The Company has a cement capacity of approximately 29.65 million tons with five integrated cement manufacturing plants and eight cement grinding units across the country. The Company's subsidiaries include M.G.T Cements Private Limited, Chemical Limes Mundwa Private Limited, Dang Cement Industries Private Limited, Dirk India Private Limited, ACC Limited and OneIndia BSC Private Limited.</v>
    <v>4792</v>
    <v>National Stock Exchange of India</v>
    <v>XNSE</v>
    <v>XNSE</v>
    <v>Elegant Business Park, MIDC Cross Road 'B', Off Andheri Kurla Road Andheri (East), MUMBAI, MAHARASHTRA, 400059 IN</v>
    <v>302.89999999999998</v>
    <v>Construction Materials</v>
    <v>Stock</v>
    <v>44642.471516203703</v>
    <v>172</v>
    <v>296.05</v>
    <v>596388600000</v>
    <v>AMBUJA CEMENTS LIMITED</v>
    <v>AMBUJA CEMENTS LIMITED</v>
    <v>300.45</v>
    <v>21.45</v>
    <v>300.35000000000002</v>
    <v>300.89999999999998</v>
    <v>1985645000</v>
    <v>AMBUJACEM</v>
    <v>AMBUJA CEMENTS LIMITED (XNSE:AMBUJACEM)</v>
    <v>3537814</v>
    <v>6147410</v>
    <v>1981</v>
  </rv>
  <rv s="2">
    <v>173</v>
  </rv>
  <rv s="0">
    <v>https://www.bing.com/financeapi/forcetrigger?t=bra8hw&amp;q=XNSE%3aSHREDIGCEM&amp;form=skydnc</v>
    <v>Learn more on Bing</v>
  </rv>
  <rv s="3">
    <v>en-IN</v>
    <v>bra8hw</v>
    <v>268435456</v>
    <v>1</v>
    <v>Powered by Refinitiv</v>
    <v>5</v>
    <v>SHREE DIGVIJAY CEMENT CO LIMITED (XNSE:SHREDIGCEM)</v>
    <v>2</v>
    <v>6</v>
    <v>Finance</v>
    <v>4</v>
    <v>97.8</v>
    <v>47.1</v>
    <v>-0.15</v>
    <v>-2.163E-3</v>
    <v>INR</v>
    <v>Shree Digvijay Cement Company Limited is an India-based company, which is engaged in the manufacturing and selling of cement. The Company's major product range is blended cements, which include Portland Pozzolana Cement (PPC), Ordinary Portland Cement (OPC), Sulphate Resistance Portland Cement and Oil Well Cement (OWC). It offers its products through KAMAL brand. It also offers solutions for various types of construction. The company provides transportation, warehousing, fulfillment, global logistics, business intelligence, technology and supply chain solutions through its wholly owned subsidiary, SDCCL Logistics Limited. The services offered by SDCCL Logistics Limited include break-bulk cargo-import and export, transportation solutions, warehousing solutions, chartering and freight forwarding solutions and commodity trading.</v>
    <v>273</v>
    <v>National Stock Exchange of India</v>
    <v>XNSE</v>
    <v>XNSE</v>
    <v>P. O. Digvijaygram, JAMNAGAR, GUJARAT, 361140 IN</v>
    <v>71</v>
    <v>Construction Materials</v>
    <v>Stock</v>
    <v>44642.471550925926</v>
    <v>175</v>
    <v>68.650000000000006</v>
    <v>9976363000</v>
    <v>SHREE DIGVIJAY CEMENT CO LIMITED</v>
    <v>SHREE DIGVIJAY CEMENT CO LIMITED</v>
    <v>69.95</v>
    <v>14.24</v>
    <v>69.349999999999994</v>
    <v>69.2</v>
    <v>143855300</v>
    <v>SHREDIGCEM</v>
    <v>SHREE DIGVIJAY CEMENT CO LIMITED (XNSE:SHREDIGCEM)</v>
    <v>161634</v>
    <v>354190</v>
    <v>1944</v>
  </rv>
  <rv s="2">
    <v>176</v>
  </rv>
  <rv s="0">
    <v>http://en.wikipedia.org/wiki/Cipla</v>
    <v>Wikipedia</v>
  </rv>
  <rv s="4">
    <v>30</v>
    <v>178</v>
  </rv>
  <rv s="5">
    <v>11</v>
    <v>https://www.bing.com/th?id=AMMS_82dad3312a4b20edef42341713bacf83&amp;qlt=95</v>
    <v>179</v>
    <v>0</v>
    <v>https://www.bing.com/images/search?form=xlimg&amp;q=cipla</v>
    <v>Image of CIPLA LIMITED</v>
  </rv>
  <rv s="0">
    <v>https://www.bing.com/financeapi/forcetrigger?t=ahhedm&amp;q=XNSE%3aCIPLA&amp;form=skydnc</v>
    <v>Learn more on Bing</v>
  </rv>
  <rv s="6">
    <v>en-IN</v>
    <v>ahhedm</v>
    <v>268435456</v>
    <v>1</v>
    <v>Powered by Refinitiv</v>
    <v>7</v>
    <v>CIPLA LIMITED (XNSE:CIPLA)</v>
    <v>9</v>
    <v>10</v>
    <v>Finance</v>
    <v>4</v>
    <v>1083</v>
    <v>758.7</v>
    <v>0.35449999999999998</v>
    <v>-17.7</v>
    <v>-1.6851999999999999E-2</v>
    <v>INR</v>
    <v>Cipla Limited is an India-based company that is primarily engaged in the business of pharmaceuticals. The Company’s segments include Pharmaceuticals and New ventures. The Pharmaceuticals segment is engaged in developing, manufacturing, selling and distributing generic or branded generic medicines, as well as Active Pharmaceutical Ingredients (API). The New ventures segment includes the operations of the Company, a consumer healthcare, Biosimilars and specialty business. Its product portfolio spans complex generics, as well as drugs in the respiratory, anti-retroviral, urology, cardiology, anti-infective and central nervous system (CNS). The Company's geographical segments include India, the United States, South Africa and Rest of the World. The Company has its network of manufacturing, trading and other incidental operations in India and International markets. The Company has approximately 46 manufacturing sites.</v>
    <v>21565</v>
    <v>National Stock Exchange of India</v>
    <v>XNSE</v>
    <v>XNSE</v>
    <v>Cipla House, Peninsula Business Park, Ganpatrao Kadam Marg, Lower Parel,, MUMBAI, MAHARASHTRA, 400013 IN</v>
    <v>1049.25</v>
    <v>180</v>
    <v>Pharmaceuticals</v>
    <v>Stock</v>
    <v>44642.471504629626</v>
    <v>181</v>
    <v>1024</v>
    <v>847396800000</v>
    <v>CIPLA LIMITED</v>
    <v>CIPLA LIMITED</v>
    <v>1045</v>
    <v>32.99</v>
    <v>1050.3</v>
    <v>1032.5999999999999</v>
    <v>806814000</v>
    <v>CIPLA</v>
    <v>CIPLA LIMITED (XNSE:CIPLA)</v>
    <v>2269544</v>
    <v>4985390</v>
    <v>1935</v>
  </rv>
  <rv s="2">
    <v>182</v>
  </rv>
  <rv s="0">
    <v>https://www.bing.com/financeapi/forcetrigger?t=ahgq1h&amp;q=XNSE%3aAARTIIND&amp;form=skydnc</v>
    <v>Learn more on Bing</v>
  </rv>
  <rv s="1">
    <v>en-IN</v>
    <v>ahgq1h</v>
    <v>268435456</v>
    <v>1</v>
    <v>Powered by Refinitiv</v>
    <v>0</v>
    <v>AARTI INDUSTRIES LTD (XNSE:AARTIIND)</v>
    <v>2</v>
    <v>3</v>
    <v>Finance</v>
    <v>4</v>
    <v>1168</v>
    <v>620</v>
    <v>1.0428999999999999</v>
    <v>-3</v>
    <v>-3.2919999999999998E-3</v>
    <v>INR</v>
    <v>Aarti Industries Limited is engaged in manufacturing and dealing in specialty chemicals and pharmaceuticals. The Company operates through two segments as Speciality Chemicals and Pharmaceuticals. Its Speciality Chemicals segment serves polymer and additives; agrochemicals and intermediates; dyes, pigments, paints, and printing inks; pharma intermediates, and fuel additives, rubber chemicals, and resins markets. Its Pharmaceuticals segment serves active pharmaceutical ingredients and intermediates for innovators and generic companies. The Company is integrated across over 200 products. Its products include Benzene products, Toluene products, Sulphuric Acid products, and Other specialty chemicals.</v>
    <v>7111</v>
    <v>National Stock Exchange of India</v>
    <v>XNSE</v>
    <v>XNSE</v>
    <v>222, Udyog Kshetra, L.B.S. Marg, Mulund-Goregaon Link Rd, Mulund(W), MUMBAI, MAHARASHTRA, 400080 IN</v>
    <v>916.05</v>
    <v>Chemicals</v>
    <v>Stock</v>
    <v>44642.471493055556</v>
    <v>184</v>
    <v>893</v>
    <v>330368100000</v>
    <v>AARTI INDUSTRIES LTD</v>
    <v>AARTI INDUSTRIES LTD</v>
    <v>912</v>
    <v>27.89</v>
    <v>911.35</v>
    <v>908.35</v>
    <v>362504000</v>
    <v>AARTIIND</v>
    <v>AARTI INDUSTRIES LTD (XNSE:AARTIIND)</v>
    <v>527993</v>
    <v>1142380</v>
    <v>1984</v>
  </rv>
  <rv s="2">
    <v>185</v>
  </rv>
  <rv s="0">
    <v>https://www.bing.com/financeapi/forcetrigger?t=ahjpcw&amp;q=XNSE%3aRKFORGE&amp;form=skydnc</v>
    <v>Learn more on Bing</v>
  </rv>
  <rv s="1">
    <v>en-IN</v>
    <v>ahjpcw</v>
    <v>268435456</v>
    <v>1</v>
    <v>Powered by Refinitiv</v>
    <v>0</v>
    <v>RAMKRISHNA FORGINGS LTD (XNSE:RKFORGE)</v>
    <v>2</v>
    <v>3</v>
    <v>Finance</v>
    <v>4</v>
    <v>252</v>
    <v>97.31</v>
    <v>1.5637000000000001</v>
    <v>-3.25</v>
    <v>-1.883E-2</v>
    <v>INR</v>
    <v>Ramkrishna Forgings Limited is an India-based company that is engaged in the manufacturing and sale of forged components. The Company operates through two segments: Forging components and Others. The Company's products include rolled products, forged products and machined products. The Company supplies its products to various sectors, such as automotive, railways, farm equipment, bearings, oil and gas, power and construction, earthmoving, and mining, both in India and overseas markets. The Company is also a critical safety item supplier for screw coupling, bolster suspension, side frame keys and draw gear assembly for railway coaches and wagons. The Company has manufacturing facilities at Gamaria, Adityapur industrial area, Baliguma, Dugni at Saraikela, Jamshedpur in Jharkhand and at Liluah in West Bengal. The Company's wholly owned subsidiaries include Globe All India Services Limited, Ramkrishna Aeronautics Private Limited and Ramkrishna Forgings LLC, USA.</v>
    <v>1896</v>
    <v>National Stock Exchange of India</v>
    <v>XNSE</v>
    <v>XNSE</v>
    <v>Ramkrishna Chambers, 23, Circus Avenue, KOLKATA, WEST BENGAL, 700017 IN</v>
    <v>177.75</v>
    <v>Metals &amp; Mining</v>
    <v>Stock</v>
    <v>44642.471724537034</v>
    <v>187</v>
    <v>165.05</v>
    <v>27595020000</v>
    <v>RAMKRISHNA FORGINGS LTD</v>
    <v>RAMKRISHNA FORGINGS LTD</v>
    <v>173.9</v>
    <v>18.62</v>
    <v>172.6</v>
    <v>169.35</v>
    <v>159878400</v>
    <v>RKFORGE</v>
    <v>RAMKRISHNA FORGINGS LTD (XNSE:RKFORGE)</v>
    <v>714657</v>
    <v>867600</v>
    <v>1981</v>
  </rv>
  <rv s="2">
    <v>188</v>
  </rv>
  <rv s="0">
    <v>https://www.bing.com/financeapi/forcetrigger?t=ahki77&amp;q=XNSE%3aUPL&amp;form=skydnc</v>
    <v>Learn more on Bing</v>
  </rv>
  <rv s="1">
    <v>en-IN</v>
    <v>ahki77</v>
    <v>268435456</v>
    <v>1</v>
    <v>Powered by Refinitiv</v>
    <v>0</v>
    <v>UPL LIMITED (XNSE:UPL)</v>
    <v>2</v>
    <v>3</v>
    <v>Finance</v>
    <v>4</v>
    <v>864.7</v>
    <v>581</v>
    <v>1.1164000000000001</v>
    <v>5.05</v>
    <v>6.509E-3</v>
    <v>INR</v>
    <v>UPL Limited is an India-based company that provides crop protection solutions. The Company is engaged in the business of agrochemicals, industrial chemicals, chemical intermediates and specialty chemicals. The Company's segments include Agro activity and Non Agro activity. The Agro activity segment includes the manufacture and marketing of conventional agrochemical products, seeds and other agricultural-related products. The Non Agro activity segment includes manufacture and marketing of industrial chemical and other non-agricultural related products. It offers fungicides, herbicides, insecticides, plant growth and regulators, rodenticides, industrial and specialty chemicals and nutrifeeds. The Company offers an integrated portfolio of both patented and post-patent agricultural solutions for various arable and specialty crops, including biological, crop protection, seed treatment and post-harvest solutions covering the entire crop value chain.</v>
    <v>12258</v>
    <v>National Stock Exchange of India</v>
    <v>XNSE</v>
    <v>XNSE</v>
    <v>Uniphos House, C. D. Marg, 11Th Roard, Madhu Park, MUMBAI, MAHARASHTRA, 400052 IN</v>
    <v>787</v>
    <v>Chemicals</v>
    <v>Stock</v>
    <v>44642.471724537034</v>
    <v>190</v>
    <v>771.05</v>
    <v>592822900000</v>
    <v>UPL LIMITED</v>
    <v>UPL LIMITED</v>
    <v>775</v>
    <v>19.12</v>
    <v>775.9</v>
    <v>780.95</v>
    <v>764045500</v>
    <v>UPL</v>
    <v>UPL LIMITED (XNSE:UPL)</v>
    <v>2788207</v>
    <v>3604930</v>
    <v>1985</v>
  </rv>
  <rv s="2">
    <v>191</v>
  </rv>
  <rv s="0">
    <v>https://www.bing.com/financeapi/forcetrigger?t=ahkezr&amp;q=XNSE%3aTRIDENT&amp;form=skydnc</v>
    <v>Learn more on Bing</v>
  </rv>
  <rv s="1">
    <v>en-IN</v>
    <v>ahkezr</v>
    <v>268435456</v>
    <v>1</v>
    <v>Powered by Refinitiv</v>
    <v>0</v>
    <v>TRIDENT LIMITED (XNSE:TRIDENT)</v>
    <v>2</v>
    <v>3</v>
    <v>Finance</v>
    <v>4</v>
    <v>70.349999999999994</v>
    <v>13.1</v>
    <v>0.99299999999999999</v>
    <v>-0.05</v>
    <v>-9.4609999999999996E-4</v>
    <v>INR</v>
    <v>Trident Limited is engaged in manufacturing, trading, and selling Textiles (Yarn, Terry Towels &amp; Bedsheets) and Paper &amp; Chemicals. It is a vertically integrated textile (Yarn, Bath &amp; Bed Linen) and Paper (Wheat Straw-based) manufacturer and Home Textile Space in India. The Company operates in two business segments such as Textiles and Paper with its manufacturing facilities located in Punjab and Madhya Pradesh. The Textiles segment includes yarn, towel, bedsheets, and dyed yarn manufacturing (including utility service). The Paper and Chemical/Chemical segment includes paper and sulfuric acid (including utility service). The Company's product portfolio includes solid bath ensembles, beach towels, embroidered towels, bathmats, bathrobes, printed bed linen, duvets, duvet covers, cushion covers, viscose blended yarn, core-spun yarn, bamboo/cotton yarn, dyed bed linen set, micro modal/cotton blended yarn, drawing paper, and Bible and offset print paper.</v>
    <v>16111</v>
    <v>National Stock Exchange of India</v>
    <v>XNSE</v>
    <v>XNSE</v>
    <v>E-212, Kitchlu Nagar, LUDHIANA, PUNJAB, 141001 IN</v>
    <v>53</v>
    <v>Textiles &amp; Apparel</v>
    <v>Stock</v>
    <v>44642.471701388888</v>
    <v>193</v>
    <v>51.4</v>
    <v>264150000000</v>
    <v>TRIDENT LIMITED</v>
    <v>TRIDENT LIMITED</v>
    <v>53</v>
    <v>36.659999999999997</v>
    <v>52.85</v>
    <v>52.8</v>
    <v>4998107000</v>
    <v>TRIDENT</v>
    <v>TRIDENT LIMITED (XNSE:TRIDENT)</v>
    <v>2944445</v>
    <v>8172960</v>
    <v>1990</v>
  </rv>
  <rv s="2">
    <v>194</v>
  </rv>
  <rv s="0">
    <v>https://www.bing.com/financeapi/forcetrigger?t=ahjfec&amp;q=XNSE%3aPIIND&amp;form=skydnc</v>
    <v>Learn more on Bing</v>
  </rv>
  <rv s="1">
    <v>en-IN</v>
    <v>ahjfec</v>
    <v>268435456</v>
    <v>1</v>
    <v>Powered by Refinitiv</v>
    <v>0</v>
    <v>PI INDUSTRIES LIMITED (XNSE:PIIND)</v>
    <v>2</v>
    <v>3</v>
    <v>Finance</v>
    <v>4</v>
    <v>3534.9</v>
    <v>2201.85</v>
    <v>0.91220000000000001</v>
    <v>-6.3</v>
    <v>-2.2629999999999998E-3</v>
    <v>INR</v>
    <v>PI Industries Limited is a holding company. The Company is engaged in the manufacturing and distribution of agro chemicals. It operates through Agro Chemicals segment. The Company has two products categories: agro chemical products and specialty products. The Company's agrochemical products categories include insecticides, fungicides and herbicides. Its specialty products brands include Biovita Granules, Biovita Liquid, Super Spreader and Humesol. The Company offers services, such as Research and Development (RandD) Services, CSM Services, Distribution Services. The R and D services comprise of Target, Discovery, Molecule Design, Library Synthesis, Lead Optimization, Biological Evaluation and Route Synthesis. It also provides Shield (fungicide) and Londax Power (rice herbicide) products. The Company provides services in various areas, including contract research, process development, analytical method development, process safety data generation and process detailed engineering.</v>
    <v>2963</v>
    <v>National Stock Exchange of India</v>
    <v>XNSE</v>
    <v>XNSE</v>
    <v>Vipul Square, 5th Floor, B-Block, Sushant Lok, Phase- I, GURGAON, HARYANA, 122009 IN</v>
    <v>2793.55</v>
    <v>Chemicals</v>
    <v>Stock</v>
    <v>44642.471909722219</v>
    <v>196</v>
    <v>2725</v>
    <v>422176400000</v>
    <v>PI INDUSTRIES LIMITED</v>
    <v>PI INDUSTRIES LIMITED</v>
    <v>2784.05</v>
    <v>50.31</v>
    <v>2784.05</v>
    <v>2777.75</v>
    <v>151641100</v>
    <v>PIIND</v>
    <v>PI INDUSTRIES LIMITED (XNSE:PIIND)</v>
    <v>214161</v>
    <v>273150</v>
    <v>1946</v>
  </rv>
  <rv s="2">
    <v>197</v>
  </rv>
  <rv s="0">
    <v>https://www.bing.com/financeapi/forcetrigger?t=ahherw&amp;q=XNSE%3aCOALINDIA&amp;form=skydnc</v>
    <v>Learn more on Bing</v>
  </rv>
  <rv s="1">
    <v>en-IN</v>
    <v>ahherw</v>
    <v>268435456</v>
    <v>1</v>
    <v>Powered by Refinitiv</v>
    <v>0</v>
    <v>COAL INDIA LTD (XNSE:COALINDIA)</v>
    <v>2</v>
    <v>3</v>
    <v>Finance</v>
    <v>4</v>
    <v>203.8</v>
    <v>123.4</v>
    <v>0.76770000000000005</v>
    <v>1.05</v>
    <v>5.7599999999999995E-3</v>
    <v>INR</v>
    <v>Coal lndia Limited is an India-based coal mining company. The Company is mainly engaged in mining and production of coal and also operates coal washeries. Its product offerings include Coking Coal, Semi Coking Coal, Non-Coking Coal, Washed and Beneficiated Coal, Middlings, Rejects, Coal Fines/Coke Fines, CIL Coke / LTC Coke and Tar/Heavy Oil/Light Oil/Soft Pitch. Its Coking Coal products are used in steel making and metallurgical industries. Its Semi Coking Coal products are used as blend-able coal in steel making, merchant coke manufacturing and other metallurgical industries. Its Non-Coking Coal products are used as thermal grade coal for power generation and also used for cement, fertilizer, glass, ceramic, paper, chemical and brick manufacturing, and for other heating purposes. Its Washed and Beneficiated Coal is used in manufacturing of hard coke for steel making. The Company operates through its subsidiaries in approximately 85 mining areas spread over eight states of India.</v>
    <v>259016</v>
    <v>National Stock Exchange of India</v>
    <v>XNSE</v>
    <v>XNSE</v>
    <v>Coal Bhawan, Premise No-04 MAR,, Plot No-AF-III,Action Area-1A,, Newtown,Rajarhat, KOLKATA, WEST BENGAL, 700156 IN</v>
    <v>185.8</v>
    <v>Coal</v>
    <v>Stock</v>
    <v>44642.471875000003</v>
    <v>199</v>
    <v>180.5</v>
    <v>1123465000000</v>
    <v>COAL INDIA LTD</v>
    <v>COAL INDIA LTD</v>
    <v>183.65</v>
    <v>13.62</v>
    <v>182.3</v>
    <v>183.35</v>
    <v>6162729000</v>
    <v>COALINDIA</v>
    <v>COAL INDIA LTD (XNSE:COALINDIA)</v>
    <v>12372751</v>
    <v>19856010</v>
    <v>1973</v>
  </rv>
  <rv s="2">
    <v>200</v>
  </rv>
  <rv s="0">
    <v>https://www.bing.com/financeapi/forcetrigger?t=ahhfa2&amp;q=XNSE%3aCONCOR&amp;form=skydnc</v>
    <v>Learn more on Bing</v>
  </rv>
  <rv s="1">
    <v>en-IN</v>
    <v>ahhfa2</v>
    <v>268435456</v>
    <v>1</v>
    <v>Powered by Refinitiv</v>
    <v>0</v>
    <v>CONTAINER CORPORATION OF INDIA LIMITED (XNSE:CONCOR)</v>
    <v>2</v>
    <v>3</v>
    <v>Finance</v>
    <v>4</v>
    <v>754.4</v>
    <v>542</v>
    <v>1.0640000000000001</v>
    <v>0.3</v>
    <v>4.8789999999999999E-4</v>
    <v>INR</v>
    <v>Container Corporation of India Limited (CONCOR) is a holding company. The Company is engaged in transportation of containers (rail and road), and handling of containers. The Company is also engaged in the operation of logistics facilities, including dry ports, container freight stations and private freight terminals. It operates through two divisions: EXIM and Domestic. Both EXIM and Domestic divisions of the Company are engaged in handling, transportation and warehousing activities. Its international services include air cargo movements, bonded warehousing, reefer and cold chain services, and factory stuffing/destuffing. Its domestic services include volume discount scheme, door delivery and pickups, and terminal handling charges. Its E-Filing software is a Web-based application for EXIM locations being operational at Terminal/Inland Container Depot of CONCOR. Through its software, any importer/exporter/shipping agent can file his documents, including billing and take printouts.</v>
    <v>1400</v>
    <v>National Stock Exchange of India</v>
    <v>XNSE</v>
    <v>XNSE</v>
    <v>NSIC New MDBP Building, 3rd Floor,, Okhla Industrial Estate,, NEW DELHI, DELHI, 110020 IN</v>
    <v>617.1</v>
    <v>Freight &amp; Logistics Services</v>
    <v>Stock</v>
    <v>44642.471585648149</v>
    <v>202</v>
    <v>607.6</v>
    <v>374655100000</v>
    <v>CONTAINER CORPORATION OF INDIA LIMITED</v>
    <v>CONTAINER CORPORATION OF INDIA LIMITED</v>
    <v>610</v>
    <v>45.67</v>
    <v>614.9</v>
    <v>615.20000000000005</v>
    <v>609294400</v>
    <v>CONCOR</v>
    <v>CONTAINER CORPORATION OF INDIA LIMITED (XNSE:CONCOR)</v>
    <v>1045609</v>
    <v>1038680</v>
    <v>1988</v>
  </rv>
  <rv s="2">
    <v>203</v>
  </rv>
  <rv s="0">
    <v>https://www.bing.com/financeapi/forcetrigger?t=ahh1k2&amp;q=XNSE%3aAUROPHARMA&amp;form=skydnc</v>
    <v>Learn more on Bing</v>
  </rv>
  <rv s="1">
    <v>en-IN</v>
    <v>ahh1k2</v>
    <v>268435456</v>
    <v>1</v>
    <v>Powered by Refinitiv</v>
    <v>0</v>
    <v>AUROBINDO PHARMA LTD (XNSE:AUROPHARMA)</v>
    <v>2</v>
    <v>3</v>
    <v>Finance</v>
    <v>4</v>
    <v>1063.9000000000001</v>
    <v>584.25</v>
    <v>0.74329999999999996</v>
    <v>8.1</v>
    <v>1.1921999999999999E-2</v>
    <v>INR</v>
    <v>Aurobindo Pharma Limited is an India-based pharmaceutical company. The Company develops, manufactures and distributes generic pharmaceuticals, branded specialty pharmaceuticals and active pharmaceutical ingredients. Its product portfolio is spread over seven therapeutic/product areas encompassing central nervous systems (CNS), anti-retroviral, cardiovascular (CVS), antibiotics, gastroenterological, anti-diabetics and anti-allergic. It is engaged in developing a range of oncology and hormonal products. It is developing topical as well as transdermal products in the dermatology therapeutic segment. It is also developing about three depot injections based on the microsphere and nano-suspension technology platforms. The Company is marketing its products globally in approximately 150 countries. The Company's subsidiaries include APL Healthcare Limited, Auronext Pharma Private Limited, Auro Peptides Limited, APL Pharma Thai Limited and Aurolife Pharma LLC, among others.</v>
    <v>19364</v>
    <v>National Stock Exchange of India</v>
    <v>XNSE</v>
    <v>XNSE</v>
    <v>Galaxy, Floor 22-24, Plot No. 1, Survey No. 83/1,, Hyderabad Knowledge City,, Raidurg Panmaktha, HYDERABAD, TELANGANA, 500081 IN</v>
    <v>694.25</v>
    <v>Pharmaceuticals</v>
    <v>Stock</v>
    <v>44642.471493055556</v>
    <v>205</v>
    <v>674.9</v>
    <v>398086700000</v>
    <v>AUROBINDO PHARMA LTD</v>
    <v>AUROBINDO PHARMA LTD</v>
    <v>680</v>
    <v>13.86</v>
    <v>679.4</v>
    <v>687.5</v>
    <v>585938600</v>
    <v>AUROPHARMA</v>
    <v>AUROBINDO PHARMA LTD (XNSE:AUROPHARMA)</v>
    <v>3270480</v>
    <v>2601600</v>
    <v>1986</v>
  </rv>
  <rv s="2">
    <v>206</v>
  </rv>
  <rv s="0">
    <v>https://www.bing.com/financeapi/forcetrigger?t=ahk1p2&amp;q=XNSE%3aSOLARINDS&amp;form=skydnc</v>
    <v>Learn more on Bing</v>
  </rv>
  <rv s="1">
    <v>en-IN</v>
    <v>ahk1p2</v>
    <v>268435456</v>
    <v>1</v>
    <v>Powered by Refinitiv</v>
    <v>0</v>
    <v>Solar Industries India Limited (XNSE:SOLARINDS)</v>
    <v>2</v>
    <v>3</v>
    <v>Finance</v>
    <v>4</v>
    <v>2938</v>
    <v>1200</v>
    <v>0.67930000000000001</v>
    <v>-23.55</v>
    <v>-8.8060000000000013E-3</v>
    <v>INR</v>
    <v>Solar Industries India Limited is an India-based manufacturer of industrial explosives for the mining and infrastructure sector. The Company offers industrial explosives and defense products. Its industrial explosives products consist of Packaged Explosives, which include Superpower 90, SuperPower 80, Solar Prime, Solar Gel, Solar Gel-E, Solarprime-E and Superpower-GOLD; Bulk Explosives, which include Solar BE- 201, Solar BE- 101 and Solar BE- 909; Initiating Systems, which includes Microdet-1 Electronic Detonator. Its defense products consist of Military Explosives, which include TNT, RDX and HMX; Bombs &amp; Warheads, which include Air Bombs, Rockets, Torpedos, and War Heads for Rockets and Missiles; Initiating Systems &amp; Pyros, which include Fuzes, Detonators, Ignitors, Decoys &amp; Flare, and Riot Control Devices; Ammunitions, which include Multi Mode Hand Grenades, Medium Caliber and Large Caliber; Integration of Rockets, which include Composite Propellants and Gun Propellants.</v>
    <v>1629</v>
    <v>National Stock Exchange of India</v>
    <v>XNSE</v>
    <v>XNSE</v>
    <v>"Solar" House 14, Kachimet,, Amravati Road Nagpur, NAGPUR, MAHARASHTRA, 440023 IN</v>
    <v>2700</v>
    <v>Chemicals</v>
    <v>Stock</v>
    <v>44642.471759259257</v>
    <v>208</v>
    <v>2630</v>
    <v>242011100000</v>
    <v>Solar Industries India Limited</v>
    <v>Solar Industries India Limited</v>
    <v>2694.45</v>
    <v>66.41</v>
    <v>2674.45</v>
    <v>2650.9</v>
    <v>90490050</v>
    <v>SOLARINDS</v>
    <v>Solar Industries India Limited (XNSE:SOLARINDS)</v>
    <v>19591</v>
    <v>39950</v>
    <v>1995</v>
  </rv>
  <rv s="2">
    <v>209</v>
  </rv>
  <rv s="0">
    <v>https://www.bing.com/financeapi/forcetrigger?t=ahh7zr&amp;q=XNSE%3aBIOCON&amp;form=skydnc</v>
    <v>Learn more on Bing</v>
  </rv>
  <rv s="1">
    <v>en-IN</v>
    <v>ahh7zr</v>
    <v>268435456</v>
    <v>1</v>
    <v>Powered by Refinitiv</v>
    <v>0</v>
    <v>BIOCON LIMITED (XNSE:BIOCON)</v>
    <v>2</v>
    <v>3</v>
    <v>Finance</v>
    <v>4</v>
    <v>424.4</v>
    <v>314.8</v>
    <v>0.59289999999999998</v>
    <v>4.9000000000000004</v>
    <v>1.4857E-2</v>
    <v>INR</v>
    <v>Biocon Limited is an India-based biopharmaceutical company that focuses to treat diabetes, cancer and autoimmune diseases. The Company is also focused on developing novel therapies for diabetes, oncology and immunology. The Company’s businesses segment includes Generics, Biosimilars, Novel Biologics and Research Services. The Company’s Generic Formulations and active pharmaceutical ingredients (API)products include Rosuvastatin, Simvastatin, Atorvastatin, Fingolimod, Dapagliflozin, Pemetrexed, Simvastatin, Atorvastatin, Rosuvastatin, Dabigatran, Apixaban, Vildagliptin, Linagliptin, Empagliflozin, Repaglinide, Liraglutide, Sirolimus, Pimecrolimus, Mycophenolate Mofetil (MMF), Glatiramer Acetate, Fingolimod, Teriflunomide, Dasatinib, Lenalidomide, Pazopanib, Erdafitinib Orlistat, Mirabegron, Posaconazole, Micafungin, Anidulafungin and Brinzolamide. The Company’s portfolio includes ALZUMAb-L (Itolizumab), RemWin (Remdesivir), ARAFLU (Favipiravir) and CytoSorb.</v>
    <v>3032</v>
    <v>National Stock Exchange of India</v>
    <v>XNSE</v>
    <v>XNSE</v>
    <v>20th KM, Hosur Road, Electronics City, BANGALORE, KARNATAKA, 560100 IN</v>
    <v>335.65</v>
    <v>Biotechnology &amp; Medical Research</v>
    <v>Stock</v>
    <v>44642.471724537034</v>
    <v>211</v>
    <v>328.7</v>
    <v>393371100000</v>
    <v>BIOCON LIMITED</v>
    <v>BIOCON LIMITED</v>
    <v>331</v>
    <v>59.21</v>
    <v>329.8</v>
    <v>334.7</v>
    <v>1192756000</v>
    <v>BIOCON</v>
    <v>BIOCON LIMITED (XNSE:BIOCON)</v>
    <v>1558965</v>
    <v>3687960</v>
    <v>1978</v>
  </rv>
  <rv s="2">
    <v>212</v>
  </rv>
  <rv s="0">
    <v>https://www.bing.com/financeapi/forcetrigger?t=bu1xmw&amp;q=XNSE%3aSBICARD&amp;form=skydnc</v>
    <v>Learn more on Bing</v>
  </rv>
  <rv s="3">
    <v>en-IN</v>
    <v>bu1xmw</v>
    <v>268435456</v>
    <v>1</v>
    <v>Powered by Refinitiv</v>
    <v>5</v>
    <v>SBI CARDS AND PAYMENT SERVICES LIMITED (XNSE:SBICARD)</v>
    <v>2</v>
    <v>6</v>
    <v>Finance</v>
    <v>4</v>
    <v>1165</v>
    <v>712.25</v>
    <v>5.15</v>
    <v>6.1150000000000006E-3</v>
    <v>INR</v>
    <v>SBI Cards and Payment Services Limited is an India-based company. The Company provides credit card services. The Company offers a wide range of credit cards to individual cardholders and corporate clients, which includes lifestyle, rewards, travel &amp; fuel, shopping, banking partnership cards and corporate cards. The Company also offers payment products and services in the form of corporate and credit cards with incentive and rewards programs.</v>
    <v>3869</v>
    <v>National Stock Exchange of India</v>
    <v>XNSE</v>
    <v>XNSE</v>
    <v>2nd Floor, Tower-B, Infinity Towers,, DLF Cyber City, Block 2 Building 3, DLF Phase 2,, GURGAON, HARYANA, 122002 IN</v>
    <v>853.5</v>
    <v>Banking Services</v>
    <v>Stock</v>
    <v>44642.47184027778</v>
    <v>214</v>
    <v>825.1</v>
    <v>794292700000</v>
    <v>SBI CARDS AND PAYMENT SERVICES LIMITED</v>
    <v>SBI CARDS AND PAYMENT SERVICES LIMITED</v>
    <v>842.3</v>
    <v>65.400000000000006</v>
    <v>842.15</v>
    <v>847.3</v>
    <v>943172500</v>
    <v>SBICARD</v>
    <v>SBI CARDS AND PAYMENT SERVICES LIMITED (XNSE:SBICARD)</v>
    <v>1302597</v>
    <v>1231400</v>
    <v>1998</v>
  </rv>
  <rv s="2">
    <v>215</v>
  </rv>
  <rv s="0">
    <v>https://www.bing.com/financeapi/forcetrigger?t=ahkftc&amp;q=XNSE%3aTV18BRDCST&amp;form=skydnc</v>
    <v>Learn more on Bing</v>
  </rv>
  <rv s="1">
    <v>en-IN</v>
    <v>ahkftc</v>
    <v>268435456</v>
    <v>1</v>
    <v>Powered by Refinitiv</v>
    <v>0</v>
    <v>TV18 Broadcast Limited (XNSE:TV18BRDCST)</v>
    <v>2</v>
    <v>3</v>
    <v>Finance</v>
    <v>4</v>
    <v>76.900000000000006</v>
    <v>26.25</v>
    <v>1.0494000000000001</v>
    <v>4.4000000000000004</v>
    <v>6.4140000000000003E-2</v>
    <v>INR</v>
    <v>TV18 Broadcast Limited is an India-based company. The Company is primarily engaged in the business of broadcasting of general and business news television channels. It is also focused on digital content and allied businesses. The Company’s portfolio includes news, entertainment, distribution, motion pictures, digital and publishing. The Company operates news channels, such as CNBC-TV18, CNBCAwaaz, CNBC Bajar, CNN-News18, CNBCTV18.com and News18. The Company has a joint venture with Viacom Inc. called Viacom18, which operates a range of entertainment channels. Its entertainment broadcast channels include Colors, Colors Rishtey, Colors Cineplex, Rishtey Cineplex. Its regional entertainment channels include Colors Kannada, Colors Super and Colors Kannada Cinema, Colors Marathi, Colors Tamil, Colors Gujarati and Colors Gujarati Cinema, Colors Bangla and Colors Bangla Cinema, and Colors Odia. Its entertainment channels also include Nick, Sonic, Nick Jr., Nick HD+, MTV, and MTV Beats.</v>
    <v>3891</v>
    <v>National Stock Exchange of India</v>
    <v>XNSE</v>
    <v>XNSE</v>
    <v>Express Corporate Park,, Plot No.-15&amp;16, Sector-16A,, NOIDA, UTTAR PRADESH, 201301 IN</v>
    <v>73.900000000000006</v>
    <v>Media &amp; Publishing</v>
    <v>Stock</v>
    <v>44642.471770833334</v>
    <v>217</v>
    <v>68.5</v>
    <v>117605100000</v>
    <v>TV18 Broadcast Limited</v>
    <v>TV18 Broadcast Limited</v>
    <v>69.099999999999994</v>
    <v>19.39</v>
    <v>68.599999999999994</v>
    <v>73</v>
    <v>1714360000</v>
    <v>TV18BRDCST</v>
    <v>TV18 Broadcast Limited (XNSE:TV18BRDCST)</v>
    <v>37855203</v>
    <v>15143560</v>
    <v>2005</v>
  </rv>
  <rv s="2">
    <v>218</v>
  </rv>
  <rv s="0">
    <v>http://en.wikipedia.org/wiki/Tech_Mahindra</v>
    <v>Wikipedia</v>
  </rv>
  <rv s="4">
    <v>30</v>
    <v>220</v>
  </rv>
  <rv s="5">
    <v>11</v>
    <v>https://www.bing.com/th?id=AMMS_b5d17bfbdf220345db348494fcd4d650&amp;qlt=95</v>
    <v>221</v>
    <v>0</v>
    <v>https://www.bing.com/images/search?form=xlimg&amp;q=tech+mahindra</v>
    <v>Image of TECH MAHINDRA LIMITED</v>
  </rv>
  <rv s="0">
    <v>https://www.bing.com/financeapi/forcetrigger?t=ahkb6h&amp;q=XNSE%3aTECHM&amp;form=skydnc</v>
    <v>Learn more on Bing</v>
  </rv>
  <rv s="6">
    <v>en-IN</v>
    <v>ahkb6h</v>
    <v>268435456</v>
    <v>1</v>
    <v>Powered by Refinitiv</v>
    <v>7</v>
    <v>TECH MAHINDRA LIMITED (XNSE:TECHM)</v>
    <v>9</v>
    <v>10</v>
    <v>Finance</v>
    <v>4</v>
    <v>1838</v>
    <v>915.65</v>
    <v>0.70809999999999995</v>
    <v>58.4</v>
    <v>3.9465E-2</v>
    <v>INR</v>
    <v>Tech Mahindra Limited is an India-based provider of digital transformation, consulting and business re-engineering services and solutions. The Company operates through two segments: Information Technology (IT) Services and Business Processing Outsourcing (BPO). Its geographical segments include the Americas, Europe region, India and the Rest of the world. The Company’s products/services include telecom services, consulting, application outsourcing, infrastructure outsourcing, engineering services, business services group, platform solutions and mobile value-added services. The Company serves industries, including communications, manufacturing, technology, media and entertainment, banking, financial services and insurance, and retail, transport and logistics. Its subsidiaries include Tech Mahindra Luxembourg S.a r.l., Yabx India Private Limited, Tech Mahindra Credit Solutions Inc, Tech Mahindra Technology Services LLC, Zen3 Infosolutions (America) Inc. and Oslo Solutions LLC.</v>
    <v>141193</v>
    <v>National Stock Exchange of India</v>
    <v>XNSE</v>
    <v>XNSE</v>
    <v>Sharda Centre, Off Karve Road,, Erandwana, Deccan Ghymkhana,, PUNE, MAHARASHTRA, 411004 IN</v>
    <v>1543.95</v>
    <v>222</v>
    <v>Software &amp; IT Services</v>
    <v>Stock</v>
    <v>44642.471759259257</v>
    <v>223</v>
    <v>1475.05</v>
    <v>1437359000000</v>
    <v>TECH MAHINDRA LIMITED</v>
    <v>TECH MAHINDRA LIMITED</v>
    <v>1486.9</v>
    <v>25.25</v>
    <v>1479.8</v>
    <v>1538.2</v>
    <v>971319500</v>
    <v>TECHM</v>
    <v>TECH MAHINDRA LIMITED (XNSE:TECHM)</v>
    <v>3030660</v>
    <v>2279960</v>
    <v>1986</v>
  </rv>
  <rv s="2">
    <v>224</v>
  </rv>
  <rv s="0">
    <v>https://www.bing.com/financeapi/forcetrigger?t=ahgz6h&amp;q=XNSE%3aASIANPAINT&amp;form=skydnc</v>
    <v>Learn more on Bing</v>
  </rv>
  <rv s="1">
    <v>en-IN</v>
    <v>ahgz6h</v>
    <v>268435456</v>
    <v>1</v>
    <v>Powered by Refinitiv</v>
    <v>0</v>
    <v>ASIAN PAINTS LIMITED (XNSE:ASIANPAINT)</v>
    <v>2</v>
    <v>3</v>
    <v>Finance</v>
    <v>4</v>
    <v>3590</v>
    <v>2390</v>
    <v>0.54020000000000001</v>
    <v>5.4</v>
    <v>1.7730000000000001E-3</v>
    <v>INR</v>
    <v>Asian Paints Limited is engaged in the business of manufacturing, selling and distribution of paints, coatings, products related to home decor, bath fittings and providing related services. The Company’s segments include Paints and Home Improvement. Paints segment is engaged in manufacturing and trading of paints and related services. Home Improvement segment is engaged in manufacturing and trading bath fitting products and related services The Company manufactures paints, varnishes, enamels, or lacquers, and surfacing preparations, which include organic composite solvents and thinners and other related products. It also manufactures organic and inorganic chemical compounds; metal sanitary ware such as bath, sinks, washbasins and similar articles and cosmetics and toiletries. Its offers a range of services, such as interior design service, safe painting service, wood solutions, waterproofing solutions, color consultancy online and contractor finder services.</v>
    <v>7134</v>
    <v>National Stock Exchange of India</v>
    <v>XNSE</v>
    <v>XNSE</v>
    <v>Asian Paints House, 6A, Shantinagar, Santacruz (EAST), MUMBAI, MAHARASHTRA, 400055 IN</v>
    <v>3062.7</v>
    <v>Chemicals</v>
    <v>Stock</v>
    <v>44642.471493055556</v>
    <v>226</v>
    <v>2975</v>
    <v>2920797000000</v>
    <v>ASIAN PAINTS LIMITED</v>
    <v>ASIAN PAINTS LIMITED</v>
    <v>3024</v>
    <v>96.33</v>
    <v>3045.75</v>
    <v>3051.15</v>
    <v>958974500</v>
    <v>ASIANPAINT</v>
    <v>ASIAN PAINTS LIMITED (XNSE:ASIANPAINT)</v>
    <v>1515772</v>
    <v>2364410</v>
    <v>1945</v>
  </rv>
  <rv s="2">
    <v>227</v>
  </rv>
  <rv s="0">
    <v>https://www.bing.com/financeapi/forcetrigger?t=ahkjqh&amp;q=XNSE%3aVBL&amp;form=skydnc</v>
    <v>Learn more on Bing</v>
  </rv>
  <rv s="1">
    <v>en-IN</v>
    <v>ahkjqh</v>
    <v>268435456</v>
    <v>1</v>
    <v>Powered by Refinitiv</v>
    <v>0</v>
    <v>VARUN BEVERAGES LIMITED (XNSE:VBL)</v>
    <v>2</v>
    <v>3</v>
    <v>Finance</v>
    <v>4</v>
    <v>1016</v>
    <v>582.29999999999995</v>
    <v>1.1037999999999999</v>
    <v>17.3</v>
    <v>1.8340000000000002E-2</v>
    <v>INR</v>
    <v>Varun Beverages Limited is an India-based company that produces, bottles and distributes beverages. The Company operates franchisee of PepsiCo. Its diversified business conglomerate include beverages, quick-service restaurants, dairy and healthcare. It produces and distributes a range of carbonated soft drinks (CSDs), as well as a selection of non-carbonated beverages (NCBs), including packaged drinking water sold under trademarks owned by PepsiCo. PepsiCo CSD brands produced and sold by the Company include Pepsi, Diet Pepsi, Seven-Up, Mirinda Orange, Mirinda Lemon, Mountain Dew, Mountain Dew Ice, Seven-Up Nimbooz Masala Soda, Evervess, Sting, Gatorade and Slice Fizzy Drinks. PepsiCo NCB brands produced and sold by the Company include Tropicana Slice, Tropicana Juices (100%, Delight, Essentials), Nimbooz, as well as packaged drinking water under the brand Aquafina. The Company has 31 manufacturing plants in India and six manufacturing plants in international geographies.</v>
    <v>7965</v>
    <v>National Stock Exchange of India</v>
    <v>XNSE</v>
    <v>XNSE</v>
    <v>Plot No. 31, Institutional Area, Sector - 44, GURGAON, HARYANA, 122002 IN</v>
    <v>979</v>
    <v>Beverages</v>
    <v>Stock</v>
    <v>44642.471851851849</v>
    <v>229</v>
    <v>944.05</v>
    <v>408480100000</v>
    <v>VARUN BEVERAGES LIMITED</v>
    <v>VARUN BEVERAGES LIMITED</v>
    <v>948</v>
    <v>62.71</v>
    <v>943.3</v>
    <v>960.6</v>
    <v>433033100</v>
    <v>VBL</v>
    <v>VARUN BEVERAGES LIMITED (XNSE:VBL)</v>
    <v>616992</v>
    <v>510470</v>
    <v>1995</v>
  </rv>
  <rv s="2">
    <v>230</v>
  </rv>
  <rv s="0">
    <v>https://www.bing.com/financeapi/forcetrigger?t=bq37ec&amp;q=XNSE%3aNEOGEN&amp;form=skydnc</v>
    <v>Learn more on Bing</v>
  </rv>
  <rv s="3">
    <v>en-IN</v>
    <v>bq37ec</v>
    <v>268435456</v>
    <v>1</v>
    <v>Powered by Refinitiv</v>
    <v>5</v>
    <v>NEOGEN CHEMICALS LIMITED (XNSE:NEOGEN)</v>
    <v>2</v>
    <v>6</v>
    <v>Finance</v>
    <v>4</v>
    <v>1930</v>
    <v>757.2</v>
    <v>7.7</v>
    <v>4.6470000000000001E-3</v>
    <v>INR</v>
    <v>Neogen Chemicals Limited is an India-based company, which is engaged in manufacturing bromine-based compounds, lithium and bromine salts and Grignard chemicals. The Company’s products include organic chemicals, advance intermediates, inorganic chemicals, chemistries and grignard reagents. The Company operates through three segments: organic chemicals, inorganic chemicals, and custom synthesis and manufacturing. Organic chemicals segment is involved in the manufacturing of organic bromine-based compounds, advanced intermediates, specialty compounds and Grignard reagents. The inorganic chemicals segment is involved in manufacturing inorganic lithium and bromine salts. Custom synthesis and manufacturing segment is involved in developing and manufacturing new processes and customized products.</v>
    <v>325</v>
    <v>National Stock Exchange of India</v>
    <v>XNSE</v>
    <v>XNSE</v>
    <v>1002, 10Th Floor, Dev Corpora Bldg,, off. Pokharan Road no.2, 400601 IN</v>
    <v>1687</v>
    <v>Chemicals</v>
    <v>Stock</v>
    <v>44642.471701388888</v>
    <v>232</v>
    <v>1638.95</v>
    <v>41328190000</v>
    <v>NEOGEN CHEMICALS LIMITED</v>
    <v>NEOGEN CHEMICALS LIMITED</v>
    <v>1670</v>
    <v>101.11</v>
    <v>1657.15</v>
    <v>1664.85</v>
    <v>24939320</v>
    <v>NEOGEN</v>
    <v>NEOGEN CHEMICALS LIMITED (XNSE:NEOGEN)</v>
    <v>17148</v>
    <v>40490</v>
    <v>1989</v>
  </rv>
  <rv s="2">
    <v>233</v>
  </rv>
  <rv s="0">
    <v>https://www.bing.com/financeapi/forcetrigger?t=ahiw4c&amp;q=XNSE%3aMARICO&amp;form=skydnc</v>
    <v>Learn more on Bing</v>
  </rv>
  <rv s="1">
    <v>en-IN</v>
    <v>ahiw4c</v>
    <v>268435456</v>
    <v>1</v>
    <v>Powered by Refinitiv</v>
    <v>0</v>
    <v>MARICO LIMITED (XNSE:MARICO)</v>
    <v>2</v>
    <v>3</v>
    <v>Finance</v>
    <v>4</v>
    <v>607.70000000000005</v>
    <v>394</v>
    <v>0.34889999999999999</v>
    <v>-12.25</v>
    <v>-2.4289000000000002E-2</v>
    <v>INR</v>
    <v>Marico Limited is a consumer products company operating in the health, beauty and wellness space. The Company's principal products include edible oils, hair care and personal care. The Company offers various brands in the categories of hair care, skin care, edible oils, healthy foods, hygiene, male grooming, and fabric care. Its portfolio of brands includes Parachute, Saffola, Saffola FITTIFY Gourmet, Coco Soul, Parachute Advansed, Hair &amp; Care, Nihar Naturals, Livon, Set Wet, Set Wet Studio X, Veggie Clean, Kaya Youth, Travel Protect, House Protect, Mediker, Parachute Advansed Body Lotion, Revive, Veggie Clean, Parachute Advansed Coconut Creme Oil, Revive and Beardo. Its international portfolio includes brands, such as Fiancee, Hair Code, Caivil, Hercules, Black Chic, Code 10, Ingwe, X-men and Thuan Phat. It operates over eight factories across India in various locations. It operates across Bangladesh, Singapore, Egypt, Malaysia, Middle East, Nepal, Malaysia and South Africa.</v>
    <v>1695</v>
    <v>National Stock Exchange of India</v>
    <v>XNSE</v>
    <v>XNSE</v>
    <v>7th Floor, Grande Palladium, 175,CST Road, Kalina,, Santacruz (East), MUMBAI, MAHARASHTRA, 400098 IN</v>
    <v>505</v>
    <v>Personal &amp; Household Products &amp; Services</v>
    <v>Stock</v>
    <v>44642.471574074072</v>
    <v>235</v>
    <v>486.5</v>
    <v>651998100000</v>
    <v>MARICO LIMITED</v>
    <v>MARICO LIMITED</v>
    <v>505</v>
    <v>54.5</v>
    <v>504.35</v>
    <v>492.1</v>
    <v>1292749000</v>
    <v>MARICO</v>
    <v>MARICO LIMITED (XNSE:MARICO)</v>
    <v>1143012</v>
    <v>1742790</v>
    <v>1988</v>
  </rv>
  <rv s="2">
    <v>236</v>
  </rv>
  <rv s="0">
    <v>https://www.bing.com/financeapi/forcetrigger?t=ahj23m&amp;q=XNSE%3aMPHASIS&amp;form=skydnc</v>
    <v>Learn more on Bing</v>
  </rv>
  <rv s="1">
    <v>en-IN</v>
    <v>ahj23m</v>
    <v>268435456</v>
    <v>1</v>
    <v>Powered by Refinitiv</v>
    <v>0</v>
    <v>MphasiS Limited (XNSE:MPHASIS)</v>
    <v>2</v>
    <v>3</v>
    <v>Finance</v>
    <v>4</v>
    <v>3659.75</v>
    <v>1587.55</v>
    <v>0.9556</v>
    <v>82.75</v>
    <v>2.666E-2</v>
    <v>INR</v>
    <v>Mphasis Limited is an information technology (IT) solutions provider. It is engaged in providing cloud and cognitive services technology to enterprises. Its segment includes banking and capital market, logistics and transportation, information technology communication and entertainment, insurance, and others. It uses its Front2Back transformation approach, which uses cloud and cognitive to provide personalized digital experience to clients and their end customers. It provides a range of services, which includes application services, blockchain platform, business process services, cyber security, digital, enterprise automation, infrastructure services, products engineering, XaaP (Everything as a Platform) services, and Azure services. It serves various industries, which includes banking-capital market, insurance, healthcare and life science, payments, hospitality, travel and transportation, communications, energy and utilities, logistics, manufacturing, oil and gas and public sector.</v>
    <v>15110</v>
    <v>National Stock Exchange of India</v>
    <v>XNSE</v>
    <v>XNSE</v>
    <v>Bagmane Technology Park, Byrasandra, C V Raman Nagar, BANGALORE, KARNATAKA, 560095 IN</v>
    <v>3199</v>
    <v>Software &amp; IT Services</v>
    <v>Stock</v>
    <v>44642.471574074072</v>
    <v>238</v>
    <v>3095.55</v>
    <v>582959600000</v>
    <v>MphasiS Limited</v>
    <v>MphasiS Limited</v>
    <v>3103.9</v>
    <v>42.86</v>
    <v>3103.9</v>
    <v>3186.65</v>
    <v>187815200</v>
    <v>MPHASIS</v>
    <v>MphasiS Limited (XNSE:MPHASIS)</v>
    <v>655289</v>
    <v>666170</v>
    <v>1992</v>
  </rv>
  <rv s="2">
    <v>239</v>
  </rv>
  <rv s="0">
    <v>https://www.bing.com/financeapi/forcetrigger?t=ahhlpr&amp;q=XNSE%3aDRREDDY&amp;form=skydnc</v>
    <v>Learn more on Bing</v>
  </rv>
  <rv s="1">
    <v>en-IN</v>
    <v>ahhlpr</v>
    <v>268435456</v>
    <v>1</v>
    <v>Powered by Refinitiv</v>
    <v>0</v>
    <v>DR.REDDY'S LABORATORIES LTD (XNSE:DRREDDY)</v>
    <v>2</v>
    <v>3</v>
    <v>Finance</v>
    <v>4</v>
    <v>5614.6</v>
    <v>3654</v>
    <v>0.20830000000000001</v>
    <v>25.4</v>
    <v>6.3419999999999995E-3</v>
    <v>INR</v>
    <v>Dr. Reddy's Laboratories Limited is an India-based pharmaceutical company. The Company’s segments include Global Generics, which is engaged in manufacturing and marketing prescription and over-the-counter finished pharmaceutical products ready for consumption by the patient, marketed under a brand name (branded formulations) or as generic finished dosages with therapeutic equivalence to branded formulations (generics); Pharmaceutical Services and Active Ingredients (PSAI), which is engaged in manufacturing and marketing active pharmaceutical ingredients and intermediates for finished pharmaceutical products; Proprietary Products, which focuses on research and development of differentiated formulations and Others, which consists of the Company’s wholly-owned subsidiary, Aurigene Discovery Technologies Limited, which is a discovery stage biotechnology company developing novel and therapies in the fields of oncology and inflammation.</v>
    <v>22739</v>
    <v>National Stock Exchange of India</v>
    <v>XNSE</v>
    <v>XNSE</v>
    <v>8-2-337,, Road No.3 Banjara Hills, HYDERABAD, TELANGANA, 500034 IN</v>
    <v>4056.95</v>
    <v>Pharmaceuticals</v>
    <v>Stock</v>
    <v>44642.471504629626</v>
    <v>241</v>
    <v>3970</v>
    <v>664638600000</v>
    <v>DR.REDDY'S LABORATORIES LTD</v>
    <v>DR.REDDY'S LABORATORIES LTD</v>
    <v>4021</v>
    <v>25.14</v>
    <v>4004.95</v>
    <v>4030.35</v>
    <v>165954300</v>
    <v>DRREDDY</v>
    <v>DR.REDDY'S LABORATORIES LTD (XNSE:DRREDDY)</v>
    <v>1290222</v>
    <v>659630</v>
    <v>1984</v>
  </rv>
  <rv s="2">
    <v>242</v>
  </rv>
  <rv s="0">
    <v>https://www.bing.com/financeapi/forcetrigger?t=ahjmz2&amp;q=XNSE%3aRBLBANK&amp;form=skydnc</v>
    <v>Learn more on Bing</v>
  </rv>
  <rv s="1">
    <v>en-IN</v>
    <v>ahjmz2</v>
    <v>268435456</v>
    <v>1</v>
    <v>Powered by Refinitiv</v>
    <v>0</v>
    <v>RBL BANK LIMITED (XNSE:RBLBANK)</v>
    <v>2</v>
    <v>3</v>
    <v>Finance</v>
    <v>4</v>
    <v>231</v>
    <v>118.1</v>
    <v>1.6157999999999999</v>
    <v>1.5</v>
    <v>1.1252999999999999E-2</v>
    <v>INR</v>
    <v>RBL Bank Limited (the Bank) is an India-based banking company that is primarily engaged in providing a range of banking and financial services. The Company’s segments include Corporate/Wholesale Banking, Retail Banking, Treasury and Other Banking Operations. The Corporate/Wholesale Banking segment includes lending, deposits and other banking services provided to corporate customers of the Bank. The Retail Banking segment includes lending, deposits, credit cards and banking services provided to retail customers of the Bank through branch networks or other approved delivery channels. The Treasury segment includes investments, all financial markets activities undertaken on behalf of the Bank’s customers, trading, bullion business, maintenance of reserve requirements, and resource mobilization from other banks and financial institutions. The Other Banking Operations includes para banking activities, including Bancassurance. The Company's wholly owned subsidiary is RBL Finserve Limited.</v>
    <v>7816</v>
    <v>National Stock Exchange of India</v>
    <v>XNSE</v>
    <v>XNSE</v>
    <v>One Indiabulls Centre, Tower 2B, 6th Floor, 841, Senapati Bapat Marg Lower Parel (W), MUMBAI, MAHARASHTRA, 400013 IN</v>
    <v>135.25</v>
    <v>Banking Services</v>
    <v>Stock</v>
    <v>44642.47184027778</v>
    <v>244</v>
    <v>131.05000000000001</v>
    <v>79915190000</v>
    <v>RBL BANK LIMITED</v>
    <v>RBL BANK LIMITED</v>
    <v>133.44999999999999</v>
    <v>0</v>
    <v>133.30000000000001</v>
    <v>134.80000000000001</v>
    <v>599513700</v>
    <v>RBLBANK</v>
    <v>RBL BANK LIMITED (XNSE:RBLBANK)</v>
    <v>12831254</v>
    <v>13831420</v>
    <v>1943</v>
  </rv>
  <rv s="2">
    <v>245</v>
  </rv>
  <rv s="0">
    <v>http://fr.wikipedia.org/wiki/Tata_Power</v>
    <v>Wikipedia</v>
  </rv>
  <rv s="4">
    <v>30</v>
    <v>247</v>
  </rv>
  <rv s="5">
    <v>11</v>
    <v>https://www.bing.com/th?id=AMMS_ea242949a9ca389521cba1d7a9e8cb7e&amp;qlt=95</v>
    <v>248</v>
    <v>0</v>
    <v>https://www.bing.com/images/search?form=xlimg&amp;q=tata+power</v>
    <v>Image of THE TATA POWER COMPANY LIMITED</v>
  </rv>
  <rv s="0">
    <v>https://www.bing.com/financeapi/forcetrigger?t=ahka4c&amp;q=XNSE%3aTATAPOWER&amp;form=skydnc</v>
    <v>Learn more on Bing</v>
  </rv>
  <rv s="6">
    <v>en-IN</v>
    <v>ahka4c</v>
    <v>268435456</v>
    <v>1</v>
    <v>Powered by Refinitiv</v>
    <v>7</v>
    <v>THE TATA POWER COMPANY LIMITED (XNSE:TATAPOWER)</v>
    <v>9</v>
    <v>10</v>
    <v>Finance</v>
    <v>4</v>
    <v>267.85000000000002</v>
    <v>89.9</v>
    <v>1.1246</v>
    <v>3.45</v>
    <v>1.5135000000000001E-2</v>
    <v>INR</v>
    <v>The Tata Power Company Limited is an India-based integrated power company. The Company is engaged in electric power generation, transmission and distribution, electronic products, and service businesses. The Company’s segments include Generation, Renewables, Transmission and Distribution, and Others. The Generation segment comprises of generation of power from hydroelectric sources and thermal sources (coal, gas, and oil) from plants owned and operated under lease arrangements and related ancillary services. The Renewables segment comprises of generation of power from renewable energy sources i.e., wind and solar and related ancillary services. The Transmission and Distribution segment comprises of transmission and distribution network, sale of power to retail customers through distribution network and related ancillary services. The Others segment comprises of project management contracts/infrastructure management services, property development and lease rent of oil tanks.</v>
    <v>2673</v>
    <v>National Stock Exchange of India</v>
    <v>XNSE</v>
    <v>XNSE</v>
    <v>Bombay House,, 24, Homi Mody Street,, MUMBAI, MAHARASHTRA, 400001 IN</v>
    <v>231.9</v>
    <v>249</v>
    <v>Electrical Utilities &amp; IPPs</v>
    <v>Stock</v>
    <v>44642.471562500003</v>
    <v>250</v>
    <v>226.3</v>
    <v>728377600000</v>
    <v>THE TATA POWER COMPANY LIMITED</v>
    <v>THE TATA POWER COMPANY LIMITED</v>
    <v>229.1</v>
    <v>37.19</v>
    <v>227.95</v>
    <v>231.4</v>
    <v>3195340000</v>
    <v>TATAPOWER</v>
    <v>THE TATA POWER COMPANY LIMITED (XNSE:TATAPOWER)</v>
    <v>14893566</v>
    <v>20313060</v>
    <v>1919</v>
  </rv>
  <rv s="2">
    <v>251</v>
  </rv>
  <rv s="0">
    <v>https://www.bing.com/financeapi/forcetrigger?t=btddc7&amp;q=XNSE%3aPRINCEPIPE&amp;form=skydnc</v>
    <v>Learn more on Bing</v>
  </rv>
  <rv s="9">
    <v>en-IN</v>
    <v>btddc7</v>
    <v>268435456</v>
    <v>1</v>
    <v>Powered by Refinitiv</v>
    <v>16</v>
    <v>PRINCE PIPES AND FITTINGS LIMITED (XNSE:PRINCEPIPE)</v>
    <v>2</v>
    <v>17</v>
    <v>Finance</v>
    <v>4</v>
    <v>897</v>
    <v>399</v>
    <v>-19.600000000000001</v>
    <v>-2.8879000000000002E-2</v>
    <v>INR</v>
    <v>Prince Pipes and Fittings Limited is an India-based company that manufactures polymer pipes and fittings for industry applications in plumbing, sewage, irrigation, industrial and underground drainage. The Company distributes its products under two brands: Prince Piping Systems and Trubore Piping. The Company is engaged in manufacturing and selling of polyvinyl chloride (PVC), chlorinated polyvinyl chloride (CPVC), polypropylene random (PPR) and high-density polyethylene (HDPE) pipes and fittings primarily in India. Its product range includes FlowGuard Plus CPVC plumbing systems, Easyfit UPVC pipes, EasyFit iN, Easy Fit RE, Greenfit pipes, Silentfit pipes, Rainfit pipes, Ultrafit pipes and fittings, Drainfit pipes, Foamfit pipes, Corfit double-walled corrugated (DWC) pipes, Aquafit pipes and fittings, Safefit pipes, Storefit water tanks and Cablefit pipes.</v>
    <v>1793</v>
    <v>National Stock Exchange of India</v>
    <v>XNSE</v>
    <v>XNSE</v>
    <v>The Ruby, 8Th Floor, Senapati Bapat Marg (Tulsi Pipe Road), Dadar (West), MUMBAI, MAHARASHTRA, 400028 IN</v>
    <v>698.4</v>
    <v>Homebuilding &amp; Construction Supplies</v>
    <v>Stock</v>
    <v>44642.471805555557</v>
    <v>253</v>
    <v>655</v>
    <v>75037800000</v>
    <v>PRINCE PIPES AND FITTINGS LIMITED</v>
    <v>PRINCE PIPES AND FITTINGS LIMITED</v>
    <v>683.8</v>
    <v>28.93</v>
    <v>678.7</v>
    <v>659.1</v>
    <v>110561100</v>
    <v>PRINCEPIPE</v>
    <v>PRINCE PIPES AND FITTINGS LIMITED (XNSE:PRINCEPIPE)</v>
    <v>439276</v>
    <v>185560</v>
  </rv>
  <rv s="2">
    <v>254</v>
  </rv>
  <rv s="0">
    <v>https://www.bing.com/financeapi/forcetrigger?t=ahje9c&amp;q=XNSE%3aPERSISTENT&amp;form=skydnc</v>
    <v>Learn more on Bing</v>
  </rv>
  <rv s="1">
    <v>en-IN</v>
    <v>ahje9c</v>
    <v>268435456</v>
    <v>1</v>
    <v>Powered by Refinitiv</v>
    <v>0</v>
    <v>PERSISTENT SYSTEMS LIMITED (XNSE:PERSISTENT)</v>
    <v>2</v>
    <v>3</v>
    <v>Finance</v>
    <v>4</v>
    <v>4987.5</v>
    <v>1761.05</v>
    <v>0.84530000000000005</v>
    <v>111.1</v>
    <v>2.5075E-2</v>
    <v>INR</v>
    <v>Persistent Systems Limited is an India-based holding company engaged in the business of providing software products and technology services. The Company provides a range of services, including digital strategy and design, software product engineering, client experiences (CX) transformation, cloud &amp; infrastructure, intelligent automation, enterprise information technology (IT) security and data and analytics. The Company serves various industries, including banking, financial services and insurance, healthcare and life sciences, industrial, software and hi-tech and telecom and media. The Company’s subsidiaries include Persistent Systems, Inc. (PSI), Persistent Systems Pte Ltd., Persistent Systems France SAS, Persistent Systems Malaysia Sdn. Bhd., Persistent Systems Germany GmbH (PSGG), Persistent Telecom Solutions Inc, Aepona Group Limited (AGL), Aepona Limited, Youperience GmbH (YGmbH) and Youperience Limited.</v>
    <v>11037</v>
    <v>National Stock Exchange of India</v>
    <v>XNSE</v>
    <v>XNSE</v>
    <v>402 E, Bhageerath, Senapati Bapat Road, Shivajinagar, PUNE, MAHARASHTRA, 411016 IN</v>
    <v>4574</v>
    <v>Software &amp; IT Services</v>
    <v>Stock</v>
    <v>44642.47184027778</v>
    <v>256</v>
    <v>4364.25</v>
    <v>338638400000</v>
    <v>PERSISTENT SYSTEMS LIMITED</v>
    <v>PERSISTENT SYSTEMS LIMITED</v>
    <v>4432</v>
    <v>53.99</v>
    <v>4430.7</v>
    <v>4541.8</v>
    <v>76430000</v>
    <v>PERSISTENT</v>
    <v>PERSISTENT SYSTEMS LIMITED (XNSE:PERSISTENT)</v>
    <v>345308</v>
    <v>366770</v>
    <v>1990</v>
  </rv>
  <rv s="2">
    <v>257</v>
  </rv>
  <rv s="0">
    <v>https://www.bing.com/financeapi/forcetrigger?t=ahknw7&amp;q=XNSE%3aWELSPUNIND&amp;form=skydnc</v>
    <v>Learn more on Bing</v>
  </rv>
  <rv s="1">
    <v>en-IN</v>
    <v>ahknw7</v>
    <v>268435456</v>
    <v>1</v>
    <v>Powered by Refinitiv</v>
    <v>0</v>
    <v>WELSPUN INDIA LIMITED (XNSE:WELSPUNIND)</v>
    <v>2</v>
    <v>3</v>
    <v>Finance</v>
    <v>4</v>
    <v>170.7</v>
    <v>75.55</v>
    <v>1.3193999999999999</v>
    <v>-0.75</v>
    <v>-7.4519999999999994E-3</v>
    <v>INR</v>
    <v>Welspun India Limited (Welspun) is an India-based company engaged, which is engaged in the textile business. The Company manufactures a range of home textile products, primarily terry towels, bed linen products and rugs. The Company’s business segments include Home Textiles, Power and Flooring. Home Textiles segment includes towels, bathrobes, bath rugs/mats, area rugs, carpet, bedsheets, utility bedding and fashion bedding. The Power segment includes generation of power. The Flooring segment includes tiles and Grass tiles. The Company provides a range of solutions, including flooring solutions, advanced textiles, e-commerce, hospitality and wellness. The Company’s flooring products include HealthyFloor, ResilonX and Welspun Ecolite. The Company’s brands include Christy, Spaces, Welspun, Welspun Health, Martha, Welhome, SPUN and Scott Living.</v>
    <v>24594</v>
    <v>National Stock Exchange of India</v>
    <v>XNSE</v>
    <v>XNSE</v>
    <v>Welspun House, 6th Floor,, Kamala Mills Compound,, Senapati Bapat Marg, Lower Parel,, MUMBAI, MAHARASHTRA, 400013 IN</v>
    <v>101.7</v>
    <v>Textiles &amp; Apparel</v>
    <v>Stock</v>
    <v>44642.471724537034</v>
    <v>259</v>
    <v>99.1</v>
    <v>99448090000</v>
    <v>WELSPUN INDIA LIMITED</v>
    <v>WELSPUN INDIA LIMITED</v>
    <v>101</v>
    <v>14.78</v>
    <v>100.65</v>
    <v>99.9</v>
    <v>988058500</v>
    <v>WELSPUNIND</v>
    <v>WELSPUN INDIA LIMITED (XNSE:WELSPUNIND)</v>
    <v>1726884</v>
    <v>1726150</v>
    <v>1985</v>
  </rv>
  <rv s="2">
    <v>260</v>
  </rv>
  <rv s="0">
    <v>https://www.bing.com/financeapi/forcetrigger?t=ahirxm&amp;q=XNSE%3aLT&amp;form=skydnc</v>
    <v>Learn more on Bing</v>
  </rv>
  <rv s="1">
    <v>en-IN</v>
    <v>ahirxm</v>
    <v>268435456</v>
    <v>1</v>
    <v>Powered by Refinitiv</v>
    <v>0</v>
    <v>LARSEN AND TOUBRO LIMITED (XNSE:LT)</v>
    <v>2</v>
    <v>3</v>
    <v>Finance</v>
    <v>4</v>
    <v>2078.5500000000002</v>
    <v>1306</v>
    <v>1.1339999999999999</v>
    <v>17.75</v>
    <v>1.0105999999999999E-2</v>
    <v>INR</v>
    <v>Larsen and Toubro Limited is an India-based company that is engaged in technology, engineering, construction, manufacturing and financial services conglomerate with global operations. The Company’s segments include Infrastructure, Power, Heavy Engineering and Defense Engineering. The Infrastructure segment is engaged in engineering and construction of buildings and factories, transportation infrastructure and heavy civil infrastructure. The Power segment offers solutions for coal-based and gas-based thermal power plants. The Heavy Engineering segment manufactures and supplies custom-designed, engineered critical equipment and systems. The Defense Engineering segment is engaged in designing, development, serial production and supporting of equipment, systems and platforms for defense and aerospace sectors. It also includes communication projects, hydrocarbon, marketing and servicing of construction and mining machinery and parts, and manufacture and sale of rubber processing machinery.</v>
    <v>40253</v>
    <v>National Stock Exchange of India</v>
    <v>XNSE</v>
    <v>XNSE</v>
    <v>L&amp;T House, Ballard Estate, P. O. Box: 278,, MUMBAI, MAHARASHTRA, 400001 IN</v>
    <v>1777</v>
    <v>Construction &amp; Engineering</v>
    <v>Stock</v>
    <v>44642.471724537034</v>
    <v>262</v>
    <v>1721.15</v>
    <v>2467542000000</v>
    <v>LARSEN AND TOUBRO LIMITED</v>
    <v>LARSEN AND TOUBRO LIMITED</v>
    <v>1756.3</v>
    <v>29.14</v>
    <v>1756.3</v>
    <v>1774.05</v>
    <v>1404966000</v>
    <v>LT</v>
    <v>LARSEN AND TOUBRO LIMITED (XNSE:LT)</v>
    <v>3986030</v>
    <v>2980750</v>
    <v>1946</v>
  </rv>
  <rv s="2">
    <v>263</v>
  </rv>
  <rv s="0">
    <v>https://creativecommons.org/licenses/by/3.0</v>
    <v>CC BY 3.0</v>
  </rv>
  <rv s="0">
    <v>http://ko.wikipedia.org/wiki/릴라이언스_인더스트리</v>
    <v>Wikipedia</v>
  </rv>
  <rv s="4">
    <v>265</v>
    <v>266</v>
  </rv>
  <rv s="5">
    <v>11</v>
    <v>https://www.bing.com/th?id=AMMS_991c98a722f3ecd67e311cc6cb82310e&amp;qlt=95</v>
    <v>267</v>
    <v>0</v>
    <v>https://www.bing.com/images/search?form=xlimg&amp;q=reliance+industries</v>
    <v>Image of RELIANCE INDUSTRIES LIMITED</v>
  </rv>
  <rv s="0">
    <v>https://www.bing.com/financeapi/forcetrigger?t=ahjo52&amp;q=XNSE%3aRELIANCE&amp;form=skydnc</v>
    <v>Learn more on Bing</v>
  </rv>
  <rv s="6">
    <v>en-IN</v>
    <v>ahjo52</v>
    <v>268435456</v>
    <v>1</v>
    <v>Powered by Refinitiv</v>
    <v>7</v>
    <v>RELIANCE INDUSTRIES LIMITED (XNSE:RELIANCE)</v>
    <v>9</v>
    <v>10</v>
    <v>Finance</v>
    <v>4</v>
    <v>2751.35</v>
    <v>1876.7</v>
    <v>1.1385000000000001</v>
    <v>63.75</v>
    <v>2.5836999999999999E-2</v>
    <v>INR</v>
    <v>Reliance Industries Limited is an India-based company, which operates in the Oil to Chemicals (O2C), Oil and Gas, Retail, Digital Services and Financial Services segments. The O2C segment includes refining, petrochemicals, fuel retailing through Reliance BP Mobility Limited, aviation fuel and bulk wholesale marketing, and its assets comprises of refinery off-gas cracker, aromatics, gasification, multi-feed and gas crackers along with downstream manufacturing facilities, logistics and supply-chain infrastructure. The Oil and Gas segment includes exploration, development and production of crude oil and natural gas. The Retail segment includes consumer retail and a range of related services. The Digital Services segment includes provision of a range of digital services The Financial Services segment comprises of management and deployment of identified resources of the Company to various activities, including non-banking financial services and insurance broking.</v>
    <v>236334</v>
    <v>National Stock Exchange of India</v>
    <v>XNSE</v>
    <v>XNSE</v>
    <v>Maker Chambers IV, 3rd Floor, 222, Nariman Point, MUMBAI, MAHARASHTRA, 400021 IN</v>
    <v>2534.9499999999998</v>
    <v>268</v>
    <v>Oil &amp; Gas</v>
    <v>Stock</v>
    <v>44642.471550925926</v>
    <v>269</v>
    <v>2453.6</v>
    <v>16698610000000</v>
    <v>RELIANCE INDUSTRIES LIMITED</v>
    <v>RELIANCE INDUSTRIES LIMITED</v>
    <v>2460.1</v>
    <v>28.09</v>
    <v>2467.4</v>
    <v>2531.15</v>
    <v>6768619000</v>
    <v>RELIANCE</v>
    <v>RELIANCE INDUSTRIES LIMITED (XNSE:RELIANCE)</v>
    <v>10410082</v>
    <v>7326890</v>
    <v>1973</v>
  </rv>
  <rv s="2">
    <v>270</v>
  </rv>
  <rv s="0">
    <v>https://www.bing.com/financeapi/forcetrigger?t=ahke4c&amp;q=XNSE%3aTNPETRO&amp;form=skydnc</v>
    <v>Learn more on Bing</v>
  </rv>
  <rv s="1">
    <v>en-IN</v>
    <v>ahke4c</v>
    <v>268435456</v>
    <v>1</v>
    <v>Powered by Refinitiv</v>
    <v>0</v>
    <v>TAMILNADU PETROPRODUCTS LIMITED (XNSE:TNPETRO)</v>
    <v>2</v>
    <v>3</v>
    <v>Finance</v>
    <v>4</v>
    <v>150.75</v>
    <v>46.05</v>
    <v>1.1229</v>
    <v>-2.1</v>
    <v>-1.9143E-2</v>
    <v>INR</v>
    <v>Tamilnadu Petroproducts Limited is engaged in the manufacturing and selling of petrochemical and chemical products, namely Linear Alkyl Benzene, Caustic Soda, Chlorine and Propylene Oxide. The Company operates in the Industrial Intermediate Chemicals segment. The Company offers Linear Alkyl Benzene in various grades, which include SL-352 and SL-402. The Company also offers Ammonium Chloride, Hydrochloric Acid, Hydrogen and Sodium Hypo Chlorite. The Company’s product Linear Alkyl Benzene is used as a chemical intermediate to form Linear Alkyl Benzene Sulfonate (LAS), which is used as surfactant in detergents and cleaning products. The Linear Alkyl Benzene is used in various application in the manufacture of domestic detergents, institutional and industrial cleaners. Its Caustic Soda is an industrial chemical, and has applications in textile, pulp and paper, aluminum, soaps and detergents industries. The Company's manufacturing facilities are located at Manali.</v>
    <v>425</v>
    <v>National Stock Exchange of India</v>
    <v>XNSE</v>
    <v>XNSE</v>
    <v>Manali Express Highway, Manali, CHENNAI, TAMIL NADU, 600068 IN</v>
    <v>110.4</v>
    <v>Chemicals</v>
    <v>Stock</v>
    <v>44642.471562500003</v>
    <v>272</v>
    <v>106.8</v>
    <v>9869871000</v>
    <v>TAMILNADU PETROPRODUCTS LIMITED</v>
    <v>TAMILNADU PETROPRODUCTS LIMITED</v>
    <v>109.85</v>
    <v>4.6100000000000003</v>
    <v>109.7</v>
    <v>107.6</v>
    <v>89971470</v>
    <v>TNPETRO</v>
    <v>TAMILNADU PETROPRODUCTS LIMITED (XNSE:TNPETRO)</v>
    <v>347717</v>
    <v>366270</v>
    <v>1984</v>
  </rv>
  <rv s="2">
    <v>273</v>
  </rv>
  <rv s="0">
    <v>https://www.bing.com/financeapi/forcetrigger?t=ahhsnm&amp;q=XNSE%3aFSL&amp;form=skydnc</v>
    <v>Learn more on Bing</v>
  </rv>
  <rv s="1">
    <v>en-IN</v>
    <v>ahhsnm</v>
    <v>268435456</v>
    <v>1</v>
    <v>Powered by Refinitiv</v>
    <v>0</v>
    <v>Firstsource Solutions Limited (XNSE:FSL)</v>
    <v>2</v>
    <v>3</v>
    <v>Finance</v>
    <v>4</v>
    <v>242.85</v>
    <v>105.5</v>
    <v>1.3606</v>
    <v>2.2000000000000002</v>
    <v>1.7828E-2</v>
    <v>INR</v>
    <v>Firstsource Solutions Limited is a business process management (BPM) company, providing customer-centric solutions across the entire mortgage value chain. The Company's segments include Banking and Financial Services (BFS), Healthcare, Communications, Media and Technology (CMT), and Diversified Industries. It has an established presence in the United States (US), the United Kingdom (UK), India and the Philippines. The Company's services include Contact Center, Backoffice, Platform, Automation and Analytics, and Business Technology Services. The Company, through its subsidiary, Sourcepoint Inc., has a strategic partnership agreement with mortgages business group under which Sourcepoint provides business process management services. The Company's subsidiaries also include Firstsource Solutions UK Limited, Firstsource BPO Ireland Limited, Firstsource Group USA, Inc., One Advantage LLC, Firstsource Solutions USA LLC, Kramer Technologies, LLC and Firstsource Solutions USA LLC.</v>
    <v>28004</v>
    <v>National Stock Exchange of India</v>
    <v>XNSE</v>
    <v>XNSE</v>
    <v>5th Floor, Paradigm B wing, Mindspace, link Road, Malad (West), MUMBAI, MAHARASHTRA, 400064 IN</v>
    <v>128.4</v>
    <v>Professional &amp; Commercial Services</v>
    <v>Stock</v>
    <v>44642.471770833334</v>
    <v>275</v>
    <v>120.35</v>
    <v>84112300000</v>
    <v>Firstsource Solutions Limited</v>
    <v>Firstsource Solutions Limited</v>
    <v>123.6</v>
    <v>18.45</v>
    <v>123.4</v>
    <v>125.6</v>
    <v>681623200</v>
    <v>FSL</v>
    <v>Firstsource Solutions Limited (XNSE:FSL)</v>
    <v>5877071</v>
    <v>3185600</v>
    <v>2001</v>
  </rv>
  <rv s="2">
    <v>276</v>
  </rv>
  <rv s="0">
    <v>https://www.bing.com/financeapi/forcetrigger?t=ahk9dm&amp;q=XNSE%3aTATACHEM&amp;form=skydnc</v>
    <v>Learn more on Bing</v>
  </rv>
  <rv s="1">
    <v>en-IN</v>
    <v>ahk9dm</v>
    <v>268435456</v>
    <v>1</v>
    <v>Powered by Refinitiv</v>
    <v>0</v>
    <v>TATA CHEMICALS LIMITED (XNSE:TATACHEM)</v>
    <v>2</v>
    <v>3</v>
    <v>Finance</v>
    <v>4</v>
    <v>1158</v>
    <v>670.55</v>
    <v>1.2705</v>
    <v>15.45</v>
    <v>1.6449000000000002E-2</v>
    <v>INR</v>
    <v>Tata Chemicals Limited is a holding company. The Company operates through two business segments: Basic chemistry products and Specialty products. Its Basic chemistry products business is engaged in the manufacturing of inorganic chemistry products and serves various industries, such as glass, detergents, pharma, biscuit manufacturing, bakeries and other industries. Its basic chemistry products consist of soda ash, sodium bicarbonate, salt and other products. Its Specialty products consist of specialty food ingredients, such as prebiotics, formulations for feed, food and pharma customers, and specialty silica for rubber/tire industry, as well as it provides crop care and seeds for the farm sector through its subsidiary, Rallis India Limited. The Company manufactures and sells specialty nutrition products under the brand Tata NQ, which primarily consists of Fructooligosaccharide (FOS) a prebiotic dietary fiber.</v>
    <v>3872</v>
    <v>National Stock Exchange of India</v>
    <v>XNSE</v>
    <v>XNSE</v>
    <v>Leela Business Park,, Andheri - Kurla Road,, Andheri (East), MUMBAI, MAHARASHTRA, 400001 IN</v>
    <v>960</v>
    <v>Chemicals</v>
    <v>Stock</v>
    <v>44642.471562500003</v>
    <v>278</v>
    <v>926.1</v>
    <v>239279800000</v>
    <v>TATA CHEMICALS LIMITED</v>
    <v>TATA CHEMICALS LIMITED</v>
    <v>939</v>
    <v>30.56</v>
    <v>939.25</v>
    <v>954.7</v>
    <v>254756300</v>
    <v>TATACHEM</v>
    <v>TATA CHEMICALS LIMITED (XNSE:TATACHEM)</v>
    <v>1178357</v>
    <v>1227220</v>
    <v>1939</v>
  </rv>
  <rv s="2">
    <v>279</v>
  </rv>
  <rv s="0">
    <v>https://www.bing.com/financeapi/forcetrigger?t=ahkfhw&amp;q=XNSE%3aTTKPRESTIG&amp;form=skydnc</v>
    <v>Learn more on Bing</v>
  </rv>
  <rv s="1">
    <v>en-IN</v>
    <v>ahkfhw</v>
    <v>268435456</v>
    <v>1</v>
    <v>Powered by Refinitiv</v>
    <v>0</v>
    <v>TTK PRESTIGE LIMITED (XNSE:TTKPRESTIG)</v>
    <v>2</v>
    <v>3</v>
    <v>Finance</v>
    <v>4</v>
    <v>1264.6500000000001</v>
    <v>681.5</v>
    <v>0.79159999999999997</v>
    <v>-19.850000000000001</v>
    <v>-2.3386999999999998E-2</v>
    <v>INR</v>
    <v>TTK Prestige Limited is an India-based company that is primarily engaged in the business of kitchen and home appliances. The Company's product categories include pressure cooker, cookware, gas stove, mixer grinder, induction cooktop, small appliances, chimneys, cleaning solutions, and tools and accessories. Its Prestige Lifestyle is a line of premium stores for luxury kitchen appliances. Prestige Lifestyle offers built-in ovens, hobs, cooktops, island chimneys, decorative chimneys, dishwashers, multi cookers and barbeque, among others. The Company's subsidiaries include TTK British Holdings Limited and Horwood Homewares Limited.</v>
    <v>1442</v>
    <v>National Stock Exchange of India</v>
    <v>XNSE</v>
    <v>XNSE</v>
    <v>11th Floor, Brigade Towers, 135, Brigade Road, BANGALORE, KARNATAKA, 560025 IN</v>
    <v>850.05</v>
    <v>Household Goods</v>
    <v>Stock</v>
    <v>44642.471562500003</v>
    <v>281</v>
    <v>826.75</v>
    <v>117648600000</v>
    <v>TTK PRESTIGE LIMITED</v>
    <v>TTK PRESTIGE LIMITED</v>
    <v>850</v>
    <v>37.93</v>
    <v>848.75</v>
    <v>828.9</v>
    <v>138614000</v>
    <v>TTKPRESTIG</v>
    <v>TTK PRESTIGE LIMITED (XNSE:TTKPRESTIG)</v>
    <v>181902</v>
    <v>418850</v>
    <v>1955</v>
  </rv>
  <rv s="2">
    <v>282</v>
  </rv>
  <rv s="0">
    <v>https://www.bing.com/financeapi/forcetrigger?t=ahk6u2&amp;q=XNSE%3aSUPRAJIT&amp;form=skydnc</v>
    <v>Learn more on Bing</v>
  </rv>
  <rv s="1">
    <v>en-IN</v>
    <v>ahk6u2</v>
    <v>268435456</v>
    <v>1</v>
    <v>Powered by Refinitiv</v>
    <v>0</v>
    <v>SUPRAJIT ENGINEERING LIMITED (XNSE:SUPRAJIT)</v>
    <v>2</v>
    <v>3</v>
    <v>Finance</v>
    <v>4</v>
    <v>474.9</v>
    <v>241.6</v>
    <v>1.2001999999999999</v>
    <v>-3.05</v>
    <v>-9.2829999999999996E-3</v>
    <v>INR</v>
    <v>Suprajit Engineering Limited is an India-based company, which is engaged in the business of manufacturing of auto components. The Company provides control cables, speedo cables, auto lamps and other components for automobiles and caters to both domestic and international markets. The Company produces a range of mechanical control cables for motorcycles, cars, commercial vehicles and various non-automotive cables. The Company offers aftermarket products, control cable systems, push-pull assemblies, tech center, user interface solutions, vehicle lighting solutions, light-emitting diode (LED) lamps, halogen bulb and motion translation solutions. The Company’s subsidiaries include Suprajit Automotive Private Limited; Suprajit Europe Limited, Suprajit USA Inc.; Trifa Lamps Germany, GmbH and Luxlite Lamps SARL, Luxembourg.</v>
    <v>1720</v>
    <v>National Stock Exchange of India</v>
    <v>XNSE</v>
    <v>XNSE</v>
    <v>No.100, Bommasandra Industrial Area,, BANGALORE, KARNATAKA, 560099 IN</v>
    <v>334.9</v>
    <v>Automobiles &amp; Auto Parts</v>
    <v>Stock</v>
    <v>44642.471724537034</v>
    <v>284</v>
    <v>323.14999999999998</v>
    <v>45466450000</v>
    <v>SUPRAJIT ENGINEERING LIMITED</v>
    <v>SUPRAJIT ENGINEERING LIMITED</v>
    <v>332</v>
    <v>25.11</v>
    <v>328.55</v>
    <v>325.5</v>
    <v>138385200</v>
    <v>SUPRAJIT</v>
    <v>SUPRAJIT ENGINEERING LIMITED (XNSE:SUPRAJIT)</v>
    <v>103966</v>
    <v>190100</v>
    <v>1985</v>
  </rv>
  <rv s="2">
    <v>285</v>
  </rv>
  <rv s="0">
    <v>https://www.bing.com/financeapi/forcetrigger?t=ahio4c&amp;q=XNSE%3aKOTHARIPET&amp;form=skydnc</v>
    <v>Learn more on Bing</v>
  </rv>
  <rv s="1">
    <v>en-IN</v>
    <v>ahio4c</v>
    <v>268435456</v>
    <v>1</v>
    <v>Powered by Refinitiv</v>
    <v>0</v>
    <v>KOTHARI PETROCHEMICALS LIMITED. (XNSE:KOTHARIPET)</v>
    <v>2</v>
    <v>3</v>
    <v>Finance</v>
    <v>4</v>
    <v>119</v>
    <v>23.5</v>
    <v>1.1405000000000001</v>
    <v>0.8</v>
    <v>8.2899999999999988E-3</v>
    <v>INR</v>
    <v>Kothari Petrochemicals Limited is an India-based holding company. The Company is engaged in the manufacturing of Poly Iso Butene (PIB) in India. It is engaged in manufacturing chemical and chemical products, pharmaceuticals, medicinal chemical and botanical products. Its products include KVIS-10, KVIS- 20, KVIS-30, KVIS-100, KVIS-150, KVIS-200 and PIB R-01. KVIS is a linear polymer of isobutylene of different molecular weights and possesses resistance to oxidative and thermal degradation. Its KVIS-10 has a molecular weight ranging from 900 to 1000. KVIS 20 has a molecular weight ranging from 4500 to 5500. KVIS-30 has a molecular weight ranging from 1200 to 1400 and is used by customers in the Adhesive &amp; Sealant Segment. KVIS-100 has a molecular weight ranging from 1600 to 1800 and is used in engine oil additives. The Company’s products are used in lubricants, adhesives, stretch/silage, sealants &amp; caulks, polymer modification, construction chemicals &amp; rubber, optical fiber and others.</v>
    <v>148</v>
    <v>National Stock Exchange of India</v>
    <v>XNSE</v>
    <v>XNSE</v>
    <v>17, Khader Nawaz Khan Road, Nawazish, III Floor, CHENNAI, TAMIL NADU, 600006 IN</v>
    <v>99.9</v>
    <v>Chemicals</v>
    <v>Stock</v>
    <v>44642.471585648149</v>
    <v>287</v>
    <v>94.45</v>
    <v>5678678000</v>
    <v>KOTHARI PETROCHEMICALS LIMITED.</v>
    <v>KOTHARI PETROCHEMICALS LIMITED.</v>
    <v>96.5</v>
    <v>17.38</v>
    <v>96.5</v>
    <v>97.3</v>
    <v>58846400</v>
    <v>KOTHARIPET</v>
    <v>KOTHARI PETROCHEMICALS LIMITED. (XNSE:KOTHARIPET)</v>
    <v>178319</v>
    <v>362790</v>
    <v>1989</v>
  </rv>
  <rv s="2">
    <v>288</v>
  </rv>
  <rv s="0">
    <v>https://www.bing.com/financeapi/forcetrigger?t=ahjxa2&amp;q=XNSE%3aSHK&amp;form=skydnc</v>
    <v>Learn more on Bing</v>
  </rv>
  <rv s="1">
    <v>en-IN</v>
    <v>ahjxa2</v>
    <v>268435456</v>
    <v>1</v>
    <v>Powered by Refinitiv</v>
    <v>0</v>
    <v>S H KELKAR AND COMPANY Limited (XNSE:SHK)</v>
    <v>2</v>
    <v>3</v>
    <v>Finance</v>
    <v>4</v>
    <v>207.45</v>
    <v>109.5</v>
    <v>0.96189999999999998</v>
    <v>2.5</v>
    <v>1.7524999999999999E-2</v>
    <v>INR</v>
    <v>S H Kelkar and Company Limited is an India-based fragrance and flavors manufacturing company. The Company is engaged in the manufacturing, supplying and exporting of fragrances and aroma ingredients, which is made of organic and inorganic chemical compounds. It operates through two segments: Fragrances and Flavours. The Company offers fragrances in various categories, such as skincare and cosmetics, fabric care, household products, hair care, personal care and fine fragrances. The Company offers flavors in various categories, such as bakery products, beverages, confectionery, dairy products, savory food products and pharmaceuticals. It also offers a range of services, which include bio technology research service, cosmetic research service, cosmetic testing laboratory and custom synthesis services.</v>
    <v>1047</v>
    <v>National Stock Exchange of India</v>
    <v>XNSE</v>
    <v>XNSE</v>
    <v>Lal Bahadur Shastri Marg, Near Balrajeshwar Temple, Mulund (West), MUMBAI, MAHARASHTRA, 400080 IN</v>
    <v>147.69999999999999</v>
    <v>Chemicals</v>
    <v>Stock</v>
    <v>44642.471724537034</v>
    <v>290</v>
    <v>141.9</v>
    <v>19745730000</v>
    <v>S H KELKAR AND COMPANY Limited</v>
    <v>S H KELKAR AND COMPANY Limited</v>
    <v>143</v>
    <v>11.18</v>
    <v>142.65</v>
    <v>145.15</v>
    <v>138420800</v>
    <v>SHK</v>
    <v>S H KELKAR AND COMPANY Limited (XNSE:SHK)</v>
    <v>122276</v>
    <v>275350</v>
    <v>1955</v>
  </rv>
  <rv s="2">
    <v>291</v>
  </rv>
  <rv s="0">
    <v>https://www.bing.com/financeapi/forcetrigger?t=ahjef2&amp;q=XNSE%3aPETRONET&amp;form=skydnc</v>
    <v>Learn more on Bing</v>
  </rv>
  <rv s="1">
    <v>en-IN</v>
    <v>ahjef2</v>
    <v>268435456</v>
    <v>1</v>
    <v>Powered by Refinitiv</v>
    <v>0</v>
    <v>PETRONET LNG LIMITED (XNSE:PETRONET)</v>
    <v>2</v>
    <v>3</v>
    <v>Finance</v>
    <v>4</v>
    <v>244.75</v>
    <v>190.25</v>
    <v>0.71940000000000004</v>
    <v>-0.15</v>
    <v>-7.6980000000000006E-4</v>
    <v>INR</v>
    <v>Petronet LNG Limited (PLL) is an India-based company engaged in sale of re-gasified liquefied natural gas (RLNG). The Company primarily operates in the business of import and processing of liquified natural gas (LNG). The Company operates through Natural Gas Business. Its Natural Gas consists mainly of methane and ethane, propane and butane. The Company's terminals include Dahej LNG terminal, Kochi LNG terminal and Solid cargo port. The Company's Dahej LNG terminal is an LNG receiving and regasification terminal with an original nameplate capacity of approximately five million metric tons per annum, located at Dahej, Gujarat. The Kochi LNG terminal is an LNG receiving, regasification and re-loading terminal with a nameplate capacity of approximately five million metric tons per annum, located at Kochi, Kerala. Solid Cargo Port Terminal has facilities to import/export bulk products, such as coal, steel and fertilizer.</v>
    <v>529</v>
    <v>National Stock Exchange of India</v>
    <v>XNSE</v>
    <v>XNSE</v>
    <v>1st Floor, World Trade Center, Babar Road, Barakhamba Lane, NEW DELHI, DELHI, 110001 IN</v>
    <v>195.95</v>
    <v>Oil &amp; Gas</v>
    <v>Stock</v>
    <v>44642.471724537034</v>
    <v>293</v>
    <v>192.75</v>
    <v>292275000000</v>
    <v>PETRONET LNG LIMITED</v>
    <v>PETRONET LNG LIMITED</v>
    <v>195.95</v>
    <v>8.9</v>
    <v>194.85</v>
    <v>194.7</v>
    <v>1500000000</v>
    <v>PETRONET</v>
    <v>PETRONET LNG LIMITED (XNSE:PETRONET)</v>
    <v>3297353</v>
    <v>4080040</v>
    <v>1998</v>
  </rv>
  <rv s="2">
    <v>294</v>
  </rv>
  <rv s="0">
    <v>https://www.bing.com/financeapi/forcetrigger?t=ahhz1h&amp;q=XNSE%3aGREENLAM&amp;form=skydnc</v>
    <v>Learn more on Bing</v>
  </rv>
  <rv s="1">
    <v>en-IN</v>
    <v>ahhz1h</v>
    <v>268435456</v>
    <v>1</v>
    <v>Powered by Refinitiv</v>
    <v>0</v>
    <v>GREENLAM INDUSTRIES LIMITED (XNSE:GREENLAM)</v>
    <v>2</v>
    <v>3</v>
    <v>Finance</v>
    <v>4</v>
    <v>403</v>
    <v>180.01</v>
    <v>1.3642000000000001</v>
    <v>3.15</v>
    <v>8.633E-3</v>
    <v>INR</v>
    <v>Greenlam Industries Limited is an India-based company, which is engaged in the business of manufacturing laminates, decorative veneers and allied products through its factories at Behror and Nalagarh. The Company’s branches and dealers’ network are spread all over the country. It has three subsidiary companies, Greenlam Asia Pacific Pte Ltd, Greenlam America Inc and Greenlam South Ltd. The Company imports raw materials for manufacturing and sells its manufactured goods in both domestic and overseas markets. The overseas subsidiaries of the Company are mainly engaged in the marketing and distribution of its product. The Company operates through two segments. Laminate &amp; Allied Products segment is engaged in the business of manufacturing of laminates, compact laminates and other allied products. Veneer &amp; Allied Products segment is engaged in the business of manufacturing of decorative veneers, engineered wood flooring, engineered door sets and door leaf, and other allied products.</v>
    <v>1900</v>
    <v>National Stock Exchange of India</v>
    <v>XNSE</v>
    <v>XNSE</v>
    <v>2nd Floor, West Wing, Worldmark 1, Aerocity, IGI Airport Hospitality District, NEW DELHI, DELHI, 110037 IN</v>
    <v>373.05</v>
    <v>Paper &amp; Forest Products</v>
    <v>Stock</v>
    <v>44642.471631944441</v>
    <v>296</v>
    <v>363.9</v>
    <v>44036810000</v>
    <v>GREENLAM INDUSTRIES LIMITED</v>
    <v>GREENLAM INDUSTRIES LIMITED</v>
    <v>364.5</v>
    <v>45.82</v>
    <v>364.9</v>
    <v>368.05</v>
    <v>120681900</v>
    <v>GREENLAM</v>
    <v>GREENLAM INDUSTRIES LIMITED (XNSE:GREENLAM)</v>
    <v>15408</v>
    <v>34360</v>
    <v>2013</v>
  </rv>
  <rv s="2">
    <v>297</v>
  </rv>
  <rv s="0">
    <v>https://www.bing.com/financeapi/forcetrigger?t=ahiuvh&amp;q=XNSE%3aMANAKSIA&amp;form=skydnc</v>
    <v>Learn more on Bing</v>
  </rv>
  <rv s="1">
    <v>en-IN</v>
    <v>ahiuvh</v>
    <v>268435456</v>
    <v>1</v>
    <v>Powered by Refinitiv</v>
    <v>0</v>
    <v>MANAKSIA LIMITED (XNSE:MANAKSIA)</v>
    <v>2</v>
    <v>3</v>
    <v>Finance</v>
    <v>4</v>
    <v>91.05</v>
    <v>48</v>
    <v>1.3099000000000001</v>
    <v>-0.5</v>
    <v>-6.5269999999999998E-3</v>
    <v>INR</v>
    <v>Manaksia Limited is an India-based company engaged in the trading of steel products, aluminum rolled products and roll on pilfer proof (ROPP) closures. The Company's segments include Packaging Product, Metal Products and Others. The Company’s products comprise Cold Rolled Sheets used in interior and exterior panels of automobiles, buses and commercial vehicles; Galvanised Corrugated Sheets used in the rural housing sector and factory buildings, and Galvanised Plain Sheets, used in the manufacture of containers and water tanks and color coated coils and sheets for sale to construction, housing, consumer durable and other industries. Its Aluminium rolled products in coil and sheet form used in closures, bus bodies, flooring and general engineering purposes and color coated coils and sheets. Its ROPP closures are used for liquor and pharmaceutical sectors, crown closures for beer and carbonated soft drink sectors, and plastic closures for carbonated soft drinks and mineral water sectors.</v>
    <v>21</v>
    <v>National Stock Exchange of India</v>
    <v>XNSE</v>
    <v>XNSE</v>
    <v>Turner Morrison Building, 6 Lyons Range,, Mezzanine Floor, North-West Corner, KOLKATA, WEST BENGAL, 700001 IN</v>
    <v>78.3</v>
    <v>Metals &amp; Mining</v>
    <v>Stock</v>
    <v>44642.471782407411</v>
    <v>299</v>
    <v>73.75</v>
    <v>5019908000</v>
    <v>MANAKSIA LIMITED</v>
    <v>MANAKSIA LIMITED</v>
    <v>76.400000000000006</v>
    <v>4.28</v>
    <v>76.599999999999994</v>
    <v>76.099999999999994</v>
    <v>65534050</v>
    <v>MANAKSIA</v>
    <v>MANAKSIA LIMITED (XNSE:MANAKSIA)</v>
    <v>124684</v>
    <v>77380</v>
    <v>1984</v>
  </rv>
  <rv s="2">
    <v>300</v>
  </rv>
  <rv s="0">
    <v>https://www.bing.com/financeapi/forcetrigger?t=ahj9zr&amp;q=XNSE%3aONGC&amp;form=skydnc</v>
    <v>Learn more on Bing</v>
  </rv>
  <rv s="1">
    <v>en-IN</v>
    <v>ahj9zr</v>
    <v>268435456</v>
    <v>1</v>
    <v>Powered by Refinitiv</v>
    <v>0</v>
    <v>OIL AND NATURAL GAS CORPORATION LIMITED (XNSE:ONGC)</v>
    <v>2</v>
    <v>3</v>
    <v>Finance</v>
    <v>4</v>
    <v>194.95</v>
    <v>97.45</v>
    <v>1.2103999999999999</v>
    <v>2.9</v>
    <v>1.6807000000000002E-2</v>
    <v>INR</v>
    <v>Oil and Natural Gas Corporation Limited is an India-based company, which is engaged in exploration, development and production of crude oil, natural gas and value-added products. Its segments include Exploration and Production; and Refining and Marketing. The Company's geographical segments include operations in India, which includes Onshore and Offshore, and Outside India. It is also involved in acquisition of oil and gas acreages outside India for exploration, development, and production, downstream (Refining and marketing of petroleum products), petrochemicals, power generation, liquefied natural gas (LNG) supply, pipeline transportation, special economic zone (SEZ) development and helicopter services. It is involved in offshore extraction of crude petroleum, offshore extraction of natural gas and services incidental to offshore oil extraction. Its subsidiaries include Mangalore Refinery and Petrochemicals Limited, ONGC Videsh Limited and Petronet MHB Limited.</v>
    <v>28479</v>
    <v>National Stock Exchange of India</v>
    <v>XNSE</v>
    <v>XNSE</v>
    <v>KDMIPE Capmus,, Kaulagarh Road, DEHARADUN, UTTARANCHAL, 248195 IN</v>
    <v>181.25</v>
    <v>Oil &amp; Gas</v>
    <v>Stock</v>
    <v>44642.471539351849</v>
    <v>302</v>
    <v>173.8</v>
    <v>2170727000000</v>
    <v>OIL AND NATURAL GAS CORPORATION LIMITED</v>
    <v>OIL AND NATURAL GAS CORPORATION LIMITED</v>
    <v>176.2</v>
    <v>4.92</v>
    <v>172.55</v>
    <v>175.45</v>
    <v>12580280000</v>
    <v>ONGC</v>
    <v>OIL AND NATURAL GAS CORPORATION LIMITED (XNSE:ONGC)</v>
    <v>39742745</v>
    <v>52096500</v>
    <v>1993</v>
  </rv>
  <rv s="2">
    <v>303</v>
  </rv>
  <rv s="0">
    <v>https://www.bing.com/financeapi/forcetrigger?t=axvhlh&amp;q=XNSE%3aVETO&amp;form=skydnc</v>
    <v>Learn more on Bing</v>
  </rv>
  <rv s="1">
    <v>en-IN</v>
    <v>axvhlh</v>
    <v>268435456</v>
    <v>1</v>
    <v>Powered by Refinitiv</v>
    <v>0</v>
    <v>VETO SWITCHGEARS AND CABLES LIMITED (XNSE:VETO)</v>
    <v>2</v>
    <v>3</v>
    <v>Finance</v>
    <v>4</v>
    <v>172</v>
    <v>78.3</v>
    <v>1.5219</v>
    <v>-0.2</v>
    <v>-2.0579999999999999E-3</v>
    <v>INR</v>
    <v>Veto Switchgears and Cables Limited is an India-based company that is engaged in manufacturing of wires and cables, electrical accessories and also deals in light emitting diode (LED) lighting, compact fluorescent lamps (CFLs) and fans. The Company's segments include Wire and Cables, Lighting &amp; Fittings and Accessories &amp; Others. The Company's product portfolio ranges from industrial cables, stand cables to telephone and co-axial wires, from general switches to modular switches, from ceiling fans to rechargeable fans, compact fluorescent lamps (CFLs), light emitting diode (LED) bulbs and other electrical accessories. It is engaged in dealing in electrical accessories, such as switch socket, miniature circuit breaker (MCB), bell and various electrical accessories. The Company's products are supplied under the brand names VETO and VIMAL POWER through a network of dealers to the customers in India, as well as selected customers abroad. Its manufacturing unit is located in Haridwar.</v>
    <v>403</v>
    <v>National Stock Exchange of India</v>
    <v>XNSE</v>
    <v>XNSE</v>
    <v>Plot No 10, Days Hotel Airport, Plaza Behind Radisson blu Hotel, Durgapura Tonk Road, JAIPUR, RAJASTHAN, 302018 IN</v>
    <v>99.6</v>
    <v>Machinery, Equipment &amp; Components</v>
    <v>Stock</v>
    <v>44642.471678240741</v>
    <v>305</v>
    <v>96</v>
    <v>1857974000</v>
    <v>VETO SWITCHGEARS AND CABLES LIMITED</v>
    <v>VETO SWITCHGEARS AND CABLES LIMITED</v>
    <v>98.9</v>
    <v>9.35</v>
    <v>97.2</v>
    <v>97</v>
    <v>19114950</v>
    <v>VETO</v>
    <v>VETO SWITCHGEARS AND CABLES LIMITED (XNSE:VETO)</v>
    <v>47255</v>
    <v>79210</v>
    <v>2007</v>
  </rv>
  <rv s="2">
    <v>306</v>
  </rv>
  <rv s="0">
    <v>https://www.bing.com/financeapi/forcetrigger?t=ahkj3m&amp;q=XNSE%3aVAIBHAVGBL&amp;form=skydnc</v>
    <v>Learn more on Bing</v>
  </rv>
  <rv s="1">
    <v>en-IN</v>
    <v>ahkj3m</v>
    <v>268435456</v>
    <v>1</v>
    <v>Powered by Refinitiv</v>
    <v>0</v>
    <v>VAIBHAV GLOBAL LIMITED (XNSE:VAIBHAVGBL)</v>
    <v>2</v>
    <v>3</v>
    <v>Finance</v>
    <v>4</v>
    <v>1050</v>
    <v>377</v>
    <v>0.86250000000000004</v>
    <v>-6.3</v>
    <v>-1.5526999999999999E-2</v>
    <v>INR</v>
    <v>Vaibhav Global Limited is an India-based vertically integrated electronic retailer of fashion jewelry, home, beauty, lifestyle and essential products. The Company offers to customers in the United States and the United Kingdom. The Company’s two television (TV) sales platforms include Shop LC Global Inc. and Shop TJC Limited. Shop LC Global Inc. provides split-screen broadcasting where two hosts could present simultaneously on live TV. The Company also offers live broadcasts during the lockdowns. Shop TJC Limited is engaged in the sale and marketing of fashion jewelry and lifestyle accessories through electronic media. Shop TJC Limited operates a dedicated 24x7 TV shopping channel and Internet shopping Website, www.tjc.co.uk , and also a mobile application in the United Kingdom. Its subsidiary, STS Gems Limited, is engaged in outsourcing jewelry and lifestyle products primarily for the Company.</v>
    <v>1313</v>
    <v>National Stock Exchange of India</v>
    <v>XNSE</v>
    <v>XNSE</v>
    <v>E- 69 Epip,, Sitapura,, JAIPUR, RAJASTHAN, 302022 IN</v>
    <v>408.55</v>
    <v>Textiles &amp; Apparel</v>
    <v>Stock</v>
    <v>44642.471724537034</v>
    <v>308</v>
    <v>398</v>
    <v>66418850000</v>
    <v>VAIBHAV GLOBAL LIMITED</v>
    <v>VAIBHAV GLOBAL LIMITED</v>
    <v>405.75</v>
    <v>30.01</v>
    <v>405.75</v>
    <v>399.45</v>
    <v>163694000</v>
    <v>VAIBHAVGBL</v>
    <v>VAIBHAV GLOBAL LIMITED (XNSE:VAIBHAVGBL)</v>
    <v>127644</v>
    <v>168130</v>
    <v>1989</v>
  </rv>
  <rv s="2">
    <v>309</v>
  </rv>
  <rv s="0">
    <v>https://www.bing.com/financeapi/forcetrigger?t=c1c3dm&amp;q=XNSE%3aLXCHEM&amp;form=skydnc</v>
    <v>Learn more on Bing</v>
  </rv>
  <rv s="3">
    <v>en-IN</v>
    <v>c1c3dm</v>
    <v>268435456</v>
    <v>1</v>
    <v>Powered by Refinitiv</v>
    <v>5</v>
    <v>LAXMI ORGANIC INDUSTRIES LIMITED (XNSE:LXCHEM)</v>
    <v>2</v>
    <v>6</v>
    <v>Finance</v>
    <v>4</v>
    <v>628</v>
    <v>143.25</v>
    <v>-0.25</v>
    <v>-5.9449999999999998E-4</v>
    <v>INR</v>
    <v>Laxmi Organic Industries Limited is an India-based company, which is engaged in the business of specialty chemicals. The Company primarily manufactures ethyl acetate, acetic acid and diketene derivative products (DDP). Its business segments include Acetyl Intermediates and Speciality Intermediates. Its Acetyl Intermediates unit produces a range of acetyl products, including bulk solvents and aldehydes. Its acetyl products have applications in various industries, such as pharmaceutical formulations, printing inks, adhesives, coatings. It is a manufacturer of Speciality Intermediates, such as ketene and diketene derivatives, including esters, amides and arylides. Its specialty products have applications in pharmaceuticals, synthesis and manufacturing of agrochemicals and pigments, among others. Its operations and global footprint covers customers in over 30 countries, including Argentina, Armenia, Austria, Belgium, China, Cyprus, the Czech Republic, France and Germany, among others.</v>
    <v>649</v>
    <v>National Stock Exchange of India</v>
    <v>XNSE</v>
    <v>XNSE</v>
    <v>Chandermukhi Building, 2nd and 3rd Floor, Nariman Point, MUMBAI, MAHARASHTRA, 400021 IN</v>
    <v>423.8</v>
    <v>Chemicals</v>
    <v>Stock</v>
    <v>44642.471550925926</v>
    <v>311</v>
    <v>417.55</v>
    <v>110883400000</v>
    <v>LAXMI ORGANIC INDUSTRIES LIMITED</v>
    <v>LAXMI ORGANIC INDUSTRIES LIMITED</v>
    <v>420.6</v>
    <v>42.14</v>
    <v>420.55</v>
    <v>420.3</v>
    <v>263662800</v>
    <v>LXCHEM</v>
    <v>LAXMI ORGANIC INDUSTRIES LIMITED (XNSE:LXCHEM)</v>
    <v>316323</v>
    <v>477430</v>
    <v>1989</v>
  </rv>
  <rv s="2">
    <v>312</v>
  </rv>
  <rv s="0">
    <v>https://www.bing.com/financeapi/forcetrigger?t=bvu652&amp;q=XNSE%3aROUTE&amp;form=skydnc</v>
    <v>Learn more on Bing</v>
  </rv>
  <rv s="3">
    <v>en-IN</v>
    <v>bvu652</v>
    <v>268435456</v>
    <v>1</v>
    <v>Powered by Refinitiv</v>
    <v>5</v>
    <v>Route Mobile Ltd (XNSE:ROUTE)</v>
    <v>2</v>
    <v>6</v>
    <v>Finance</v>
    <v>4</v>
    <v>2389</v>
    <v>1395</v>
    <v>2.5499999999999998</v>
    <v>1.6359999999999999E-3</v>
    <v>INR</v>
    <v>Route Mobile Limited is an India-based company, which provides cloud communication platform as a service (CPaaS) to enterprises, over-the-top (OTT) players and mobile network operators (MNO). The Company's business verticals include enterprise, mobile operator, and business process outsourcing (BPO). The enterprise vertical provides cloud based communication platform to enterprises to enable digital communication through multiple channels including rich communication services (RCS), application-to-person/ person-to-application (A2P/P2A) messaging, two-way messaging, OTT business messaging, enterprise electronic mail and uniform resource locator (URL) shortening. Its mobile operator service offerings include short message service (SMS) analytics, firewall, filtering, monetization and CPaaS and hubbing solutions. It offers solutions to marketing &amp; sales, customer engagement, banking, financial services and insurance, ecommerce, healthcare, telecommunications and hospitality.</v>
    <v>318</v>
    <v>National Stock Exchange of India</v>
    <v>XNSE</v>
    <v>XNSE</v>
    <v>4th Dimension, 3rd Floor, Mind Space, Malad (W), MUMBAI, MAHARASHTRA, 400 064 IN</v>
    <v>1579</v>
    <v>Telecommunications Services</v>
    <v>Stock</v>
    <v>44642.471493055556</v>
    <v>314</v>
    <v>1547.3</v>
    <v>98025110000</v>
    <v>Route Mobile Ltd</v>
    <v>Route Mobile Ltd</v>
    <v>1574.8</v>
    <v>57.71</v>
    <v>1559.1</v>
    <v>1561.65</v>
    <v>62872880</v>
    <v>ROUTE</v>
    <v>Route Mobile Ltd (XNSE:ROUTE)</v>
    <v>174026</v>
    <v>215270</v>
    <v>2004</v>
  </rv>
  <rv s="2">
    <v>315</v>
  </rv>
  <rv s="0">
    <v>https://www.bing.com/financeapi/forcetrigger?t=ahidkr&amp;q=XNSE%3aANDHRAPAP&amp;form=skydnc</v>
    <v>Learn more on Bing</v>
  </rv>
  <rv s="1">
    <v>en-IN</v>
    <v>ahidkr</v>
    <v>268435456</v>
    <v>1</v>
    <v>Powered by Refinitiv</v>
    <v>0</v>
    <v>ANDHRA PAPER LIMITED (XNSE:ANDHRAPAP)</v>
    <v>2</v>
    <v>3</v>
    <v>Finance</v>
    <v>4</v>
    <v>304.45</v>
    <v>203.65</v>
    <v>1.3702000000000001</v>
    <v>4.25</v>
    <v>1.4615E-2</v>
    <v>INR</v>
    <v>Andhra Paper Limited is an India-based paper and packaging company. The Company is engaged in the business of manufacture and sale of pulp, paper and paper board for business and home uses through its signature brands, including PRIMAVERA, PRIMAVERA WHITE, SKYTONE, White Choice, STARWHITE and CCS. It produces writing, printing, copier and industrial papers for foreign and domestic markets and offers a range of specialty grade products that are custom engineered to suit specific and a range of applications. It offers a range of office documentation and multipurpose papers, for both home and commercial use. It operates over two manufacturing units at Rajahmundry and Kadiyam. Its unit at Rajahmundry produces approximately 174,000 metric tons (MT) of finished paper and 181,500 MT of bleached pulp annually.</v>
    <v>1869</v>
    <v>National Stock Exchange of India</v>
    <v>XNSE</v>
    <v>XNSE</v>
    <v>Krishe Sapphire Building, 8th Floor, 1-89/3/b/40 to 42/KS/801, Hi-tech City Main Road Madhapur, HYDERABAD, TELANGANA, 500081 IN</v>
    <v>300.39999999999998</v>
    <v>Paper &amp; Forest Products</v>
    <v>Stock</v>
    <v>44642.471493055556</v>
    <v>317</v>
    <v>283</v>
    <v>11565130000</v>
    <v>ANDHRA PAPER LIMITED</v>
    <v>ANDHRA PAPER LIMITED</v>
    <v>296.64999999999998</v>
    <v>10.09</v>
    <v>290.8</v>
    <v>295.05</v>
    <v>39770040</v>
    <v>ANDHRAPAP</v>
    <v>ANDHRA PAPER LIMITED (XNSE:ANDHRAPAP)</v>
    <v>117254</v>
    <v>251080</v>
    <v>1964</v>
  </rv>
  <rv s="2">
    <v>318</v>
  </rv>
  <rv s="0">
    <v>http://es.wikipedia.org/wiki/Hero_MotoCorp</v>
    <v>Wikipedia</v>
  </rv>
  <rv s="4">
    <v>30</v>
    <v>320</v>
  </rv>
  <rv s="5">
    <v>11</v>
    <v>https://www.bing.com/th?id=AMMS_e72d1aced580d623d3334410eb4db4ca&amp;qlt=95</v>
    <v>321</v>
    <v>0</v>
    <v>https://www.bing.com/images/search?form=xlimg&amp;q=hero+motocorp</v>
    <v>Image of Hero MotoCorp Limited</v>
  </rv>
  <rv s="0">
    <v>https://www.bing.com/financeapi/forcetrigger?t=ahi4cw&amp;q=XNSE%3aHEROMOTOCO&amp;form=skydnc</v>
    <v>Learn more on Bing</v>
  </rv>
  <rv s="6">
    <v>en-IN</v>
    <v>ahi4cw</v>
    <v>268435456</v>
    <v>1</v>
    <v>Powered by Refinitiv</v>
    <v>7</v>
    <v>Hero MotoCorp Limited (XNSE:HEROMOTOCO)</v>
    <v>9</v>
    <v>10</v>
    <v>Finance</v>
    <v>4</v>
    <v>3132.88</v>
    <v>2146.85</v>
    <v>0.91890000000000005</v>
    <v>32.1</v>
    <v>1.3422E-2</v>
    <v>INR</v>
    <v>Hero MotoCorp Limited is engaged development, manufacturing, marketing, sale and distribution of two-wheelers and its parts and accessories. Its product category includes motorcycles, scooters, and parts. Its motorcycle products include XTREME 200S, XTREME 160R BS6, XPULSE 200T, XPULSE 200 4V, XPULSE 200 BS6, SUPER SPLENDOR BS6, SPLENDOR ISMART BS6, SPLENDOR+ BS6, PASSION PRO BS6, NEW SUPER SPLENDOR, GLAMOUR BS6, NEW GLAMOUR and GLAMOUR XTEC. Its scooter products include PLEASURE+ XTEC, NEW MAESTRO EDGE 125 BS6, NEW MAESTRO EDGE 110 and DESTINI 125 BS6. Its accessories include bungee nets, engine guards, fender, grip covers, helmets, knee pads, merchandise, rim tapes, seat covers, side grabs, step women, and tank pads. It also provides HERO GENUINE 4T PLUS MOTORCYCLE ENGINE OIL and HERO GENUINE 4T PLUS SCOOTOER ENGINE OIL. It has eight manufacturing facilities, including six in India (Dharuhera, Chittoor, Gurugram, Haridwar, Neemrana, Gujarat) and one each in Colombia and Bangladesh.</v>
    <v>8793</v>
    <v>National Stock Exchange of India</v>
    <v>XNSE</v>
    <v>XNSE</v>
    <v>34, Community Centre, Basant Lok, Vasant Vihar, NEW DELHI, DELHI, 110057 IN</v>
    <v>2435</v>
    <v>322</v>
    <v>Automobiles &amp; Auto Parts</v>
    <v>Stock</v>
    <v>44642.471516203703</v>
    <v>323</v>
    <v>2345.0500000000002</v>
    <v>477860300000</v>
    <v>Hero MotoCorp Limited</v>
    <v>Hero MotoCorp Limited</v>
    <v>2405</v>
    <v>18.47</v>
    <v>2391.5500000000002</v>
    <v>2423.65</v>
    <v>199811900</v>
    <v>HEROMOTOCO</v>
    <v>Hero MotoCorp Limited (XNSE:HEROMOTOCO)</v>
    <v>470208</v>
    <v>700790</v>
    <v>1984</v>
  </rv>
  <rv s="2">
    <v>324</v>
  </rv>
  <rv s="0">
    <v>https://www.bing.com/financeapi/forcetrigger?t=ahk9p2&amp;q=XNSE%3aTATACONSUM&amp;form=skydnc</v>
    <v>Learn more on Bing</v>
  </rv>
  <rv s="1">
    <v>en-IN</v>
    <v>ahk9p2</v>
    <v>268435456</v>
    <v>1</v>
    <v>Powered by Refinitiv</v>
    <v>0</v>
    <v>TATA CONSUMER PRODUCTS LIMITED (XNSE:TATACONSUM)</v>
    <v>2</v>
    <v>3</v>
    <v>Finance</v>
    <v>4</v>
    <v>889</v>
    <v>596.25</v>
    <v>0.75490000000000002</v>
    <v>5.0999999999999996</v>
    <v>6.8200000000000005E-3</v>
    <v>INR</v>
    <v>Tata Consumer Products Limited is an India-based company that is engaged in the trading, production and distribution of consumer products. The Company operates through two segments: Branded and Non Branded. Branded segment is sub-categorized as India beverages, India foods and international beverages. India beverages is engaged in the sale of branded tea, coffee and water. India foods is engaged in the sale of food products. International beverages are engaged in the sale of branded tea, coffee and water. The Company has branded beverage business in India, Europe, United States, Canada and Australia, and food business in India. Non Branded segment is involved in plantation and extraction business for tea, coffee and other produce in India, Vietnam and the United States. The Company’s subsidiary is Tata Consumer Products UK Group Ltd.</v>
    <v>2852</v>
    <v>National Stock Exchange of India</v>
    <v>XNSE</v>
    <v>XNSE</v>
    <v>11/13, Botawala Building, 1st Floor, Office #2 -6, Horniman Circle, MUMBAI, MAHARASHTRA, 400001 IN</v>
    <v>758</v>
    <v>Food &amp; Tobacco</v>
    <v>Stock</v>
    <v>44642.471562500003</v>
    <v>326</v>
    <v>731.4</v>
    <v>689136400000</v>
    <v>TATA CONSUMER PRODUCTS LIMITED</v>
    <v>TATA CONSUMER PRODUCTS LIMITED</v>
    <v>750</v>
    <v>89.18</v>
    <v>747.8</v>
    <v>752.9</v>
    <v>921551700</v>
    <v>TATACONSUM</v>
    <v>TATA CONSUMER PRODUCTS LIMITED (XNSE:TATACONSUM)</v>
    <v>3047970</v>
    <v>2970840</v>
    <v>1962</v>
  </rv>
  <rv s="2">
    <v>327</v>
  </rv>
  <rv s="0">
    <v>https://www.bing.com/financeapi/forcetrigger?t=ahkeu2&amp;q=XNSE%3aTRENT&amp;form=skydnc</v>
    <v>Learn more on Bing</v>
  </rv>
  <rv s="1">
    <v>en-IN</v>
    <v>ahkeu2</v>
    <v>268435456</v>
    <v>1</v>
    <v>Powered by Refinitiv</v>
    <v>0</v>
    <v>TRENT LIMITED (XNSE:TRENT)</v>
    <v>2</v>
    <v>3</v>
    <v>Finance</v>
    <v>4</v>
    <v>1302.5</v>
    <v>689</v>
    <v>0.85850000000000004</v>
    <v>6.75</v>
    <v>5.2749999999999993E-3</v>
    <v>INR</v>
    <v>Trent Limited is an India-based company, which is engaged in the business of retailing / trading of merchandise. It is engaged in retailing / trading of apparels, footwear, accessories, toys and games, among others. It operates through Westside, Landmark, Zudio, Utsa, Star Market and Booker Wholesale retail formats. Its flagship format, Westside offers apparel, footwear and accessories for men, women and children, along with furnishings, decor and a range of home accessories. Its family entertainment format, Landmark offers a range of toys, front list books and sports merchandise. Its value retail format, Zudio caters to apparels and footwear for men, women and children. Its modern Indian lifestyle format, Utsa offers ethnic apparel, beauty products and accessories. The Company's hypermarket and supermarket store chain operating under Star Market concept offers an assortment of products, including staples, beverages, health and beauty products along with fresh offerings.</v>
    <v>9841</v>
    <v>National Stock Exchange of India</v>
    <v>XNSE</v>
    <v>XNSE</v>
    <v>Trent House, G-Block, Plot No C:-60, Besides Citi Bank,, MUMBAI, MAHARASHTRA, 400051 IN</v>
    <v>1298.45</v>
    <v>Diversified Retail</v>
    <v>Stock</v>
    <v>44642.47152777778</v>
    <v>329</v>
    <v>1256</v>
    <v>454881800000</v>
    <v>TRENT LIMITED</v>
    <v>TRENT LIMITED</v>
    <v>1275</v>
    <v>338.04</v>
    <v>1279.5999999999999</v>
    <v>1286.3499999999999</v>
    <v>355487500</v>
    <v>TRENT</v>
    <v>TRENT LIMITED (XNSE:TRENT)</v>
    <v>713407</v>
    <v>1018480</v>
    <v>1952</v>
  </rv>
  <rv s="2">
    <v>330</v>
  </rv>
  <rv s="0">
    <v>https://www.bing.com/financeapi/forcetrigger?t=bxo1ec&amp;q=XNSE%3aSTOVEKRAFT&amp;form=skydnc</v>
    <v>Learn more on Bing</v>
  </rv>
  <rv s="3">
    <v>en-IN</v>
    <v>bxo1ec</v>
    <v>268435456</v>
    <v>1</v>
    <v>Powered by Refinitiv</v>
    <v>5</v>
    <v>STOVE KRAFT LIMITED (XNSE:STOVEKRAFT)</v>
    <v>2</v>
    <v>6</v>
    <v>Finance</v>
    <v>4</v>
    <v>1133.7</v>
    <v>427.7</v>
    <v>-8.65</v>
    <v>-1.3188999999999999E-2</v>
    <v>INR</v>
    <v>Stove Kraft Limited is an India-based kitchen and home solutions company. The Company is engaged in the manufacture and retail of a suite of kitchen and home solutions under the brand name Pigeon and Gilma. It operates through the Kitchen and Home Appliances segment. It also retails kitchen and home solutions under the BLACK+DECKER brand. It is engaged primarily in the business of manufacture of pressure cookers, liquefied petroleum gas (LPG) stoves, non-stick cookware, and trading of other kitchen and electrical appliances. Its kitchen solutions consist of cookware, cooking and home appliances across its brands, and its home solutions consist of various household utilities, including consumer lighting. It provides post-sales services in relation to, a range of products, such as blenders and juicers, breakfast appliances, small cooking appliances and small domestic appliances. The Company's Gilma brand products are sold through branded outlets owned and operated by franchisees.</v>
    <v>3312</v>
    <v>National Stock Exchange of India</v>
    <v>XNSE</v>
    <v>XNSE</v>
    <v>81/1, Medamarana Halli Village,, Harohalli Hobli, Kanakapura Taluk,, Ramanagara Dist, KARNATAKA, 562112 IN</v>
    <v>695</v>
    <v>Household Goods</v>
    <v>Stock</v>
    <v>44642.47152777778</v>
    <v>332</v>
    <v>590.29999999999995</v>
    <v>21484250000</v>
    <v>STOVE KRAFT LIMITED</v>
    <v>STOVE KRAFT LIMITED</v>
    <v>657.65</v>
    <v>31.78</v>
    <v>655.85</v>
    <v>647.20000000000005</v>
    <v>32757870</v>
    <v>STOVEKRAFT</v>
    <v>STOVE KRAFT LIMITED (XNSE:STOVEKRAFT)</v>
    <v>193374</v>
    <v>189370</v>
    <v>1999</v>
  </rv>
  <rv s="2">
    <v>333</v>
  </rv>
  <rv s="0">
    <v>http://en.wikipedia.org/wiki/Tata_Motors</v>
    <v>Wikipedia</v>
  </rv>
  <rv s="4">
    <v>30</v>
    <v>335</v>
  </rv>
  <rv s="5">
    <v>11</v>
    <v>https://www.bing.com/th?id=AMMS_55c43e0de6f4f93c01d1d9afa57febd7&amp;qlt=95</v>
    <v>336</v>
    <v>0</v>
    <v>https://www.bing.com/images/search?form=xlimg&amp;q=tata+motors</v>
    <v>Image of TATA MOTORS LIMITED</v>
  </rv>
  <rv s="0">
    <v>https://www.bing.com/financeapi/forcetrigger?t=ahk9xm&amp;q=XNSE%3aTATAMOTORS&amp;form=skydnc</v>
    <v>Learn more on Bing</v>
  </rv>
  <rv s="6">
    <v>en-IN</v>
    <v>ahk9xm</v>
    <v>268435456</v>
    <v>1</v>
    <v>Powered by Refinitiv</v>
    <v>7</v>
    <v>TATA MOTORS LIMITED (XNSE:TATAMOTORS)</v>
    <v>9</v>
    <v>10</v>
    <v>Finance</v>
    <v>4</v>
    <v>536.70000000000005</v>
    <v>268.45</v>
    <v>1.7522</v>
    <v>12.4</v>
    <v>2.8975000000000001E-2</v>
    <v>INR</v>
    <v>Tata Motors Limited is a global automobile manufacturing company. The Company’s diverse portfolio includes a range of cars, sports utility vehicles, trucks, buses and defense vehicles. Its segments include automotive operations and other operations. Its automotive segment consists of four reportable sub-segments: Tata Commercial Vehicles, which include small commercial vehicles (SCV) and pickup trucks, medium and heavy commercial vehicles and intermediate light commercial vehicle and CV passenger vehicles manufactured under the Tata and Daewoo brands; Tata Passenger Vehicles, which include passenger vehicles and utility vehicles manufactured under the Tata and Fiat brands; Jaguar Land Rover, which include vehicles manufactured under the Jaguar Land Rover brand; and Vehicle Financing, which include financing of new vehicles and pre-owned vehicles. Its other operations consist of information technology (IT) services, machine tools, and factory automation solutions.</v>
    <v>75278</v>
    <v>National Stock Exchange of India</v>
    <v>XNSE</v>
    <v>XNSE</v>
    <v>4th Floor, Ahura Centre, 82 Mahakali Caves Road, MIDC, Andheri East, MUMBAI, MAHARASHTRA, 400093 IN</v>
    <v>441.45</v>
    <v>337</v>
    <v>Automobiles &amp; Auto Parts</v>
    <v>Stock</v>
    <v>44642.471562500003</v>
    <v>338</v>
    <v>421.2</v>
    <v>1526261000000</v>
    <v>TATA MOTORS LIMITED</v>
    <v>TATA MOTORS LIMITED</v>
    <v>428.1</v>
    <v>0</v>
    <v>427.95</v>
    <v>440.35</v>
    <v>3829165000</v>
    <v>TATAMOTORS</v>
    <v>TATA MOTORS LIMITED (XNSE:TATAMOTORS)</v>
    <v>30441493</v>
    <v>42063700</v>
    <v>1945</v>
  </rv>
  <rv s="2">
    <v>339</v>
  </rv>
  <rv s="0">
    <v>https://www.bing.com/financeapi/forcetrigger?t=ahjloc&amp;q=XNSE%3aRALLIS&amp;form=skydnc</v>
    <v>Learn more on Bing</v>
  </rv>
  <rv s="1">
    <v>en-IN</v>
    <v>ahjloc</v>
    <v>268435456</v>
    <v>1</v>
    <v>Powered by Refinitiv</v>
    <v>0</v>
    <v>RALLIS INDIA LIMITED (XNSE:RALLIS)</v>
    <v>2</v>
    <v>3</v>
    <v>Finance</v>
    <v>4</v>
    <v>362.6</v>
    <v>227.3</v>
    <v>0.82250000000000001</v>
    <v>-3.35</v>
    <v>-1.3387E-2</v>
    <v>INR</v>
    <v>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v>
    <v>1700</v>
    <v>National Stock Exchange of India</v>
    <v>XNSE</v>
    <v>XNSE</v>
    <v>2nd Floor, Sharda Terraces,, Plot No. 65,Sector 11 CBD Belapur, NAVI MUMBAI, MAHARASHTRA, 400614 IN</v>
    <v>252.4</v>
    <v>Chemicals</v>
    <v>Stock</v>
    <v>44642.471550925926</v>
    <v>341</v>
    <v>245.55</v>
    <v>48665840000</v>
    <v>RALLIS INDIA LIMITED</v>
    <v>RALLIS INDIA LIMITED</v>
    <v>249.05</v>
    <v>26.12</v>
    <v>250.25</v>
    <v>246.9</v>
    <v>194468900</v>
    <v>RALLIS</v>
    <v>RALLIS INDIA LIMITED (XNSE:RALLIS)</v>
    <v>191629</v>
    <v>299620</v>
    <v>1948</v>
  </rv>
  <rv s="2">
    <v>342</v>
  </rv>
  <rv s="0">
    <v>https://www.bing.com/financeapi/forcetrigger?t=ahhhh7&amp;q=XNSE%3aDAAWAT&amp;form=skydnc</v>
    <v>Learn more on Bing</v>
  </rv>
  <rv s="1">
    <v>en-IN</v>
    <v>ahhhh7</v>
    <v>268435456</v>
    <v>1</v>
    <v>Powered by Refinitiv</v>
    <v>0</v>
    <v>LT FOODS LIMITED (XNSE:DAAWAT)</v>
    <v>2</v>
    <v>3</v>
    <v>Finance</v>
    <v>4</v>
    <v>90.5</v>
    <v>55.55</v>
    <v>1.1540999999999999</v>
    <v>-0.1</v>
    <v>-1.33E-3</v>
    <v>INR</v>
    <v>LT Foods Limited is an India-based consumer food company. The Company operates through the manufacture and storage of rice segment. It operates in three principal geographical areas of the world: India, America, Europe and other countries (Rest of the world). The Company is primarily in the business of milling, processing and marketing branded and non-branded basmati rice and manufacturing of rice food products in the domestic and overseas market. Its operations include procurement, storage, processing, packaging and distribution. The Company is also engaged in research and development to add value to rice and rice food products. The Company’s rice product portfolio comprises brown rice, white rice, steamed rice, parboiled rice, organic rice, quick-cooking rice, value-added rice and flavored rice in the ready-to-cook segment. Its brands include Daawat, Heritage, Devaaya, Chef Secretz and Rozana, which cater to a diverse customer portfolio.</v>
    <v>1090</v>
    <v>National Stock Exchange of India</v>
    <v>XNSE</v>
    <v>XNSE</v>
    <v>MVL-I Park,, 4th Floor,, Sector-15,, GURGAON, HARYANA, 122001 IN</v>
    <v>75.75</v>
    <v>Food &amp; Tobacco</v>
    <v>Stock</v>
    <v>44642.471770833334</v>
    <v>344</v>
    <v>73.900000000000006</v>
    <v>24052330000</v>
    <v>LT FOODS LIMITED</v>
    <v>LT FOODS LIMITED</v>
    <v>75</v>
    <v>8.68</v>
    <v>75.2</v>
    <v>75.099999999999994</v>
    <v>319844800</v>
    <v>DAAWAT</v>
    <v>LT FOODS LIMITED (XNSE:DAAWAT)</v>
    <v>1096067</v>
    <v>1382950</v>
    <v>1990</v>
  </rv>
  <rv s="2">
    <v>345</v>
  </rv>
  <rv s="0">
    <v>https://www.bing.com/financeapi/forcetrigger?t=ahkdm7&amp;q=XNSE%3aTINPLATE&amp;form=skydnc</v>
    <v>Learn more on Bing</v>
  </rv>
  <rv s="1">
    <v>en-IN</v>
    <v>ahkdm7</v>
    <v>268435456</v>
    <v>1</v>
    <v>Powered by Refinitiv</v>
    <v>0</v>
    <v>THE TINPLATE COMPANY OF INDIA LTD (XNSE:TINPLATE)</v>
    <v>2</v>
    <v>3</v>
    <v>Finance</v>
    <v>4</v>
    <v>412.2</v>
    <v>146.1</v>
    <v>1.4741</v>
    <v>-7.15</v>
    <v>-1.8200000000000001E-2</v>
    <v>INR</v>
    <v>The Tinplate Company of India Ltd is engaged in the manufacturing of electrolytic tinplate. It provides metal packaging solutions for a variety of food and non-food products through the manufacturing and marketing of tinplate and tin free steel under the brand name of Tata Tin plate. The electrolytic tinplate products include single reduced electrolytic tinplate (SR ETP), double reduced tinplate (DR ETP), and soft double reduced electrolytic tinplate (Soft DR ETP). Its value added/downstream products include lacquered / coated electrolytic tinplate sheets and printed electrolytic tinplate sheets. Its printed electrolytic tinplate sheets are used for food cans, paints, and battery jackets. Its applications include edible oils, paints and pesticides, processed foods, battery and aerosols, and manufacturers of bottle crowns. Its manufacturing facility is located at Jamshedpur, Jharkhand, which has cold rolling mills , electrolytic tinning Lines (ETLs) and printing and lacquering lines.</v>
    <v>1383</v>
    <v>National Stock Exchange of India</v>
    <v>XNSE</v>
    <v>XNSE</v>
    <v>4, Bankshall Street,, KOLKATA, WEST BENGAL, 700001 IN</v>
    <v>402.25</v>
    <v>Metals &amp; Mining</v>
    <v>Stock</v>
    <v>44642.471562500003</v>
    <v>347</v>
    <v>382.55</v>
    <v>41118680000</v>
    <v>THE TINPLATE COMPANY OF INDIA LTD</v>
    <v>THE TINPLATE COMPANY OF INDIA LTD</v>
    <v>394</v>
    <v>13.95</v>
    <v>392.85</v>
    <v>385.7</v>
    <v>104667600</v>
    <v>TINPLATE</v>
    <v>THE TINPLATE COMPANY OF INDIA LTD (XNSE:TINPLATE)</v>
    <v>888397</v>
    <v>1171370</v>
    <v>1920</v>
  </rv>
  <rv s="2">
    <v>348</v>
  </rv>
  <rv s="0">
    <v>https://www.bing.com/financeapi/forcetrigger?t=ahgyzr&amp;q=XNSE%3aASHOKLEY&amp;form=skydnc</v>
    <v>Learn more on Bing</v>
  </rv>
  <rv s="1">
    <v>en-IN</v>
    <v>ahgyzr</v>
    <v>268435456</v>
    <v>1</v>
    <v>Powered by Refinitiv</v>
    <v>0</v>
    <v>ASHOK LEYLAND LIMITED (XNSE:ASHOKLEY)</v>
    <v>2</v>
    <v>3</v>
    <v>Finance</v>
    <v>4</v>
    <v>153.5</v>
    <v>93.2</v>
    <v>1.3185</v>
    <v>1.4</v>
    <v>1.2635E-2</v>
    <v>INR</v>
    <v>Ashok Leyland Limited is an India-based automotive and transport vehicle company. The Company is engaged in the manufacture and sale of commercial/passenger and defense vehicles and power solutions. It also provides financial services relating to vehicle and housing financing. It manufactures medium and heavy commercial vehicles, light commercial vehicles, and power solution systems. Its commercial vehicles include vans, lorries, over-the-road tractors for semitrailers. It provides a range of trucks, which include trippers, haulage, and tractors. It offers a range of power solution systems, which includes agricultural engines, diesel generators, industrial engines, and marine engines. It offers a range of defense vehicles, which includes ALS Driving Simulator, BMP COMPREHENSIVE UPGRADE, and BMP REPOWERING. It offers buses for intercity, stage carrier, school and college and city. It also manufactures chassis fitted with engines for motor vehicles.</v>
    <v>10758</v>
    <v>National Stock Exchange of India</v>
    <v>XNSE</v>
    <v>XNSE</v>
    <v>No. 1, Sardar Patel Road, Guindy, CHENNAI, TAMIL NADU, 600032 IN</v>
    <v>113.5</v>
    <v>Automobiles &amp; Auto Parts</v>
    <v>Stock</v>
    <v>44642.471493055556</v>
    <v>350</v>
    <v>107.45</v>
    <v>325256400000</v>
    <v>ASHOK LEYLAND LIMITED</v>
    <v>ASHOK LEYLAND LIMITED</v>
    <v>110.1</v>
    <v>0</v>
    <v>110.8</v>
    <v>112.2</v>
    <v>2935527000</v>
    <v>ASHOKLEY</v>
    <v>ASHOK LEYLAND LIMITED (XNSE:ASHOKLEY)</v>
    <v>22959620</v>
    <v>31062060</v>
    <v>1948</v>
  </rv>
  <rv s="2">
    <v>351</v>
  </rv>
  <rv s="0">
    <v>https://www.bing.com/financeapi/forcetrigger?t=ahjhr7&amp;q=XNSE%3aPRAJIND&amp;form=skydnc</v>
    <v>Learn more on Bing</v>
  </rv>
  <rv s="1">
    <v>en-IN</v>
    <v>ahjhr7</v>
    <v>268435456</v>
    <v>1</v>
    <v>Powered by Refinitiv</v>
    <v>0</v>
    <v>PRAJ INDUSTRIES LIMITED (XNSE:PRAJIND)</v>
    <v>2</v>
    <v>3</v>
    <v>Finance</v>
    <v>4</v>
    <v>448</v>
    <v>163.44999999999999</v>
    <v>1.3591</v>
    <v>-5.9</v>
    <v>-1.5259E-2</v>
    <v>INR</v>
    <v>Praj Industries Limited is engaged in the manufacturing of other Special- Purpose Machinery. The Company is engaged in the business of process and project engineering. It caters to both domestic and international markets. The Company also provides designing and engineering services. The Company’s products and services include Bioenergy Plants, Engineering Businesses, and Research and development. The Bioenergy Plants produce generation ethanol and renewable biogas that can substitute fossil fuels and promotes sustainable decarbonization through circular bioeconomy. The Engineering Businesses offers critical process equipment &amp; skids, special projects, processes &amp; systems, brewery plants, water, and wastewater plants.</v>
    <v>940</v>
    <v>National Stock Exchange of India</v>
    <v>XNSE</v>
    <v>XNSE</v>
    <v>"Praj Tower" 274 &amp; 275/2, Bhumkar Chowk,, Hinjewadi Road,, Hinjewadi, PUNE, MAHARASHTRA, 411057 IN</v>
    <v>389.9</v>
    <v>Construction &amp; Engineering</v>
    <v>Stock</v>
    <v>44642.471539351849</v>
    <v>353</v>
    <v>379</v>
    <v>71017200000</v>
    <v>PRAJ INDUSTRIES LIMITED</v>
    <v>PRAJ INDUSTRIES LIMITED</v>
    <v>389</v>
    <v>49.15</v>
    <v>386.65</v>
    <v>380.75</v>
    <v>183673100</v>
    <v>PRAJIND</v>
    <v>PRAJ INDUSTRIES LIMITED (XNSE:PRAJIND)</v>
    <v>651359</v>
    <v>1098960</v>
    <v>1985</v>
  </rv>
  <rv s="2">
    <v>354</v>
  </rv>
  <rv s="0">
    <v>http://en.wikipedia.org/wiki/Indian_Oil_Corporation</v>
    <v>Wikipedia</v>
  </rv>
  <rv s="4">
    <v>30</v>
    <v>356</v>
  </rv>
  <rv s="5">
    <v>11</v>
    <v>https://www.bing.com/th?id=AMMS_dde95cb8dc5ece8dfe6b4dcfc470be42&amp;qlt=95</v>
    <v>357</v>
    <v>0</v>
    <v>https://www.bing.com/images/search?form=xlimg&amp;q=indian+oil+corporation</v>
    <v>Image of INDIAN OIL CORPORATION LIMITED</v>
  </rv>
  <rv s="0">
    <v>https://www.bing.com/financeapi/forcetrigger?t=ahidf2&amp;q=XNSE%3aIOC&amp;form=skydnc</v>
    <v>Learn more on Bing</v>
  </rv>
  <rv s="6">
    <v>en-IN</v>
    <v>ahidf2</v>
    <v>268435456</v>
    <v>1</v>
    <v>Powered by Refinitiv</v>
    <v>7</v>
    <v>INDIAN OIL CORPORATION LIMITED (XNSE:IOC)</v>
    <v>9</v>
    <v>10</v>
    <v>Finance</v>
    <v>4</v>
    <v>141.5</v>
    <v>86.75</v>
    <v>0.85340000000000005</v>
    <v>2.65</v>
    <v>2.2457999999999999E-2</v>
    <v>INR</v>
    <v>Indian Oil Corporation Limited is an India-based oil company. The Company's segments include Petroleum Products, Petrochemicals and Other Business Activities. Its Other Business Activities segment includes gas, oil and gas exploration activities, explosives and cryogenic business, and wind mill and solar power generation. Its business interests span the entire hydrocarbon value-chain ranging from refining, pipeline transportation and marketing, to exploration and production of crude oil and gas, petrochemicals, gas marketing, alternative energy sources and globalization of downstream operations. It has a network of fuel stations, bulk storage terminals, inland depots, aviation fuel stations, liquefied petroleum gas (LPG) bottling plants and lube blending plants. It also has set up approximately 257 electric vehicle (EV) charging stations and 29 battery swapping stations at its energy pumps across the country. It owns and operates approximately nine refineries across India.</v>
    <v>31648</v>
    <v>National Stock Exchange of India</v>
    <v>XNSE</v>
    <v>XNSE</v>
    <v>Plot no.3079/3, Sadiq Nagar,, J.B. Tito Marg., NEW DELHI, DELHI, 110049 IN</v>
    <v>121.85</v>
    <v>358</v>
    <v>Oil &amp; Gas</v>
    <v>Stock</v>
    <v>44642.471516203703</v>
    <v>359</v>
    <v>118.5</v>
    <v>1110871000000</v>
    <v>INDIAN OIL CORPORATION LIMITED</v>
    <v>INDIAN OIL CORPORATION LIMITED</v>
    <v>119</v>
    <v>3.97</v>
    <v>118</v>
    <v>120.65</v>
    <v>9414159000</v>
    <v>IOC</v>
    <v>INDIAN OIL CORPORATION LIMITED (XNSE:IOC)</v>
    <v>20619526</v>
    <v>16160410</v>
    <v>1959</v>
  </rv>
  <rv s="2">
    <v>360</v>
  </rv>
  <rv s="0">
    <v>https://www.bing.com/financeapi/forcetrigger?t=ahjv5r&amp;q=XNSE%3aSEQUENT&amp;form=skydnc</v>
    <v>Learn more on Bing</v>
  </rv>
  <rv s="1">
    <v>en-IN</v>
    <v>ahjv5r</v>
    <v>268435456</v>
    <v>1</v>
    <v>Powered by Refinitiv</v>
    <v>0</v>
    <v>SEQUENT SCIENTIFIC LIMITED (XNSE:SEQUENT)</v>
    <v>2</v>
    <v>3</v>
    <v>Finance</v>
    <v>4</v>
    <v>336.5</v>
    <v>120.95</v>
    <v>0.40210000000000001</v>
    <v>0.7</v>
    <v>5.7070000000000003E-3</v>
    <v>INR</v>
    <v>SeQuent Scientific Limited is an India-based integrated pharmaceutical company. The Company operates in the domains of animal health, in which it provides active pharmaceutical ingredient (APIs) and finished dosage formulations, and analytical services. The Company through its subsidiary, Alivira Animal Health Limited, offers APIs and formulations. Alivira Animal Health Limited has manufacturing facilities in five countries, including India. The Company’s subsidiary, Sequent Research Limited, is a contract research organization, which is engaged in analytical and biological analytical services to support the API, pharmaceutical, personal care and nutraceutical companies. Sequent Research Limited provides complete analytical solutions, including method validation, stability, microbiology for APIs and finished products in a variety of dosage forms as per pharmacopeial monographs, customer-developed methods or in-house method development.</v>
    <v>797</v>
    <v>National Stock Exchange of India</v>
    <v>XNSE</v>
    <v>XNSE</v>
    <v>Galaxy, Plot No. 30,, 1st Main Road, 3rd Phase, J P Nagar, Bangalore - 560078, Karnataka, BANGALORE, KARNATAKA, 560078 IN</v>
    <v>125.8</v>
    <v>Pharmaceuticals</v>
    <v>Stock</v>
    <v>44642.471770833334</v>
    <v>362</v>
    <v>121.65</v>
    <v>30296960000</v>
    <v>SEQUENT SCIENTIFIC LIMITED</v>
    <v>SEQUENT SCIENTIFIC LIMITED</v>
    <v>123.7</v>
    <v>63.04</v>
    <v>122.65</v>
    <v>123.35</v>
    <v>247019700</v>
    <v>SEQUENT</v>
    <v>SEQUENT SCIENTIFIC LIMITED (XNSE:SEQUENT)</v>
    <v>2081151</v>
    <v>1884590</v>
    <v>1985</v>
  </rv>
  <rv s="2">
    <v>363</v>
  </rv>
  <rv s="0">
    <v>https://www.bing.com/financeapi/forcetrigger?t=ahgqzr&amp;q=XNSE%3aACE&amp;form=skydnc</v>
    <v>Learn more on Bing</v>
  </rv>
  <rv s="1">
    <v>en-IN</v>
    <v>ahgqzr</v>
    <v>268435456</v>
    <v>1</v>
    <v>Powered by Refinitiv</v>
    <v>0</v>
    <v>ACTION CONSTRUCTION EQUIPMENT LIMITED (XNSE:ACE)</v>
    <v>2</v>
    <v>3</v>
    <v>Finance</v>
    <v>4</v>
    <v>291.75</v>
    <v>139.44999999999999</v>
    <v>2.3824000000000001</v>
    <v>0.6</v>
    <v>2.8020000000000002E-3</v>
    <v>INR</v>
    <v>Action Construction Equipment Limited is engaged in manufacturing of construction equipment. The Company is engaged in the business of manufacturing and marketing of hydraulic mobile cranes, mobile tower cranes, crawler cranes, truck mounted cranes, material handling equipment like forklifts, road construction equipment like backhoe loaders, compactors, motor graders and agriculture equipment like tractors, harvesters and rotavators. The Company operates through four segments: cranes segment, construction equipment segment, material handling segment and agri equipment segment. The Company has manufacturing facilities at Haryana. The Company’s equipment is used in sectors, such as infrastructure construction, power projects, ports and shipyards, dams, metro rail, roads, mining, steel industry, engineering industry, railways, cement, petroleum, defence, chemicals and fertilizer plants, warehousing, logistics, and building construction.</v>
    <v>1111</v>
    <v>National Stock Exchange of India</v>
    <v>XNSE</v>
    <v>XNSE</v>
    <v>Dudhola Link Road, Dudhola, District-Palwal, 121102 IN</v>
    <v>216.3</v>
    <v>Machinery, Equipment &amp; Components</v>
    <v>Stock</v>
    <v>44642.471759259257</v>
    <v>365</v>
    <v>213</v>
    <v>25495710000</v>
    <v>ACTION CONSTRUCTION EQUIPMENT LIMITED</v>
    <v>ACTION CONSTRUCTION EQUIPMENT LIMITED</v>
    <v>216.3</v>
    <v>22.72</v>
    <v>214.1</v>
    <v>214.7</v>
    <v>119083200</v>
    <v>ACE</v>
    <v>ACTION CONSTRUCTION EQUIPMENT LIMITED (XNSE:ACE)</v>
    <v>140509</v>
    <v>251300</v>
    <v>1995</v>
  </rv>
  <rv s="2">
    <v>366</v>
  </rv>
  <rv s="0">
    <v>https://www.bing.com/financeapi/forcetrigger?t=ahkdxm&amp;q=XNSE%3aTITAN&amp;form=skydnc</v>
    <v>Learn more on Bing</v>
  </rv>
  <rv s="1">
    <v>en-IN</v>
    <v>ahkdxm</v>
    <v>268435456</v>
    <v>1</v>
    <v>Powered by Refinitiv</v>
    <v>0</v>
    <v>TITAN COMPANY LIMITED (XNSE:TITAN)</v>
    <v>2</v>
    <v>3</v>
    <v>Finance</v>
    <v>4</v>
    <v>2768</v>
    <v>1400.05</v>
    <v>0.85780000000000001</v>
    <v>5.5</v>
    <v>2.032E-3</v>
    <v>INR</v>
    <v>Titan Company Limited is an India-based company, which is primarily involved in the manufacturing and sale of watches, jewelry, eyewear and other accessories and products. The Company's segments include Watches and Wearables, Jewellery, Eyewear and Others. The Watches and Wearables segment includes brands, such as Titan, Titan Clock, Fastrack, Sonata, Zoop, Octane, Xylys, Helios, Titan Raga, Favre-Leuba, Nebula and SF. The Jewellery segment includes brands, such as Tanishq, Mia, Zoya and CaratLane. The Eyewear segment include Titan EyePlus brand. The Others segment includes fragrances, Indian dress wear and accessories. Its new business includes brands, such as Skinn and Taneira. The Company's subsidiaries include Titan Engineering &amp; Automation Limited, Caratlane Trading Private Limited, Favre Leuba AG, Titan Holdings International FZCO, Titan Commodity Trading Limited and TCL North America Inc., among others.</v>
    <v>7235</v>
    <v>National Stock Exchange of India</v>
    <v>XNSE</v>
    <v>XNSE</v>
    <v>Integrity, Veerasandra, Electronics City P.O,, Off Hosur Main Road,, BANGALORE, KARNATAKA, 560100 IN</v>
    <v>2718.8</v>
    <v>Textiles &amp; Apparel</v>
    <v>Stock</v>
    <v>44642.471562500003</v>
    <v>368</v>
    <v>2646.45</v>
    <v>2403459000000</v>
    <v>TITAN COMPANY LIMITED</v>
    <v>TITAN COMPANY LIMITED</v>
    <v>2716.25</v>
    <v>107.99</v>
    <v>2707.25</v>
    <v>2712.75</v>
    <v>887786100</v>
    <v>TITAN</v>
    <v>TITAN COMPANY LIMITED (XNSE:TITAN)</v>
    <v>1279904</v>
    <v>1501790</v>
    <v>1984</v>
  </rv>
  <rv s="2">
    <v>369</v>
  </rv>
  <rv s="0">
    <v>https://www.bing.com/financeapi/forcetrigger?t=ahgya2&amp;q=XNSE%3aARVIND&amp;form=skydnc</v>
    <v>Learn more on Bing</v>
  </rv>
  <rv s="1">
    <v>en-IN</v>
    <v>ahgya2</v>
    <v>268435456</v>
    <v>1</v>
    <v>Powered by Refinitiv</v>
    <v>0</v>
    <v>ARVIND LIMITED (XNSE:ARVIND)</v>
    <v>2</v>
    <v>3</v>
    <v>Finance</v>
    <v>4</v>
    <v>158.75</v>
    <v>59</v>
    <v>1.5326</v>
    <v>1.1000000000000001</v>
    <v>9.4260000000000004E-3</v>
    <v>INR</v>
    <v>Arvind Limited is an India-based vertically integrated textile company. The Company's segments include Textiles, Advanced Materials and Others. The Textiles segment includes fabrics, garments and fabric retail. The Advanced Materials segment consists of human protection fabrics and garments, industrial products, advance composites and automotive fabrics. The Others segment includes e-commerce, agriculture produce, EPABX and One to Many Radio, water treatment and others. It also manufactures a range of cotton shirting, denim, knits and bottom weights (Khakis) fabrics and jeans and shirts garments. Its businesses include fabric and apparel, brands and retail, real estate, engineering, Internet, environmental solutions, advanced materials, telecom and garmenting. Its subsidiaries include Arvind PD Composite Private Limited, Arvind OG Nonwovens Private Limited, Arvind Internet Limited and Arvind Goodhill Suit Manufacturing Private Limited, among others.</v>
    <v>24774</v>
    <v>National Stock Exchange of India</v>
    <v>XNSE</v>
    <v>XNSE</v>
    <v>Naroda Road, AHMEDABAD, GUJARAT, 380025 IN</v>
    <v>118</v>
    <v>Textiles &amp; Apparel</v>
    <v>Stock</v>
    <v>44642.471493055556</v>
    <v>371</v>
    <v>115.35</v>
    <v>30410370000</v>
    <v>ARVIND LIMITED</v>
    <v>ARVIND LIMITED</v>
    <v>117.5</v>
    <v>14.59</v>
    <v>116.7</v>
    <v>117.8</v>
    <v>260585800</v>
    <v>ARVIND</v>
    <v>ARVIND LIMITED (XNSE:ARVIND)</v>
    <v>940704</v>
    <v>1761850</v>
    <v>1931</v>
  </rv>
  <rv s="2">
    <v>372</v>
  </rv>
  <rv s="0">
    <v>https://www.bing.com/financeapi/forcetrigger?t=bju4qh&amp;q=XNSE%3aIRCON&amp;form=skydnc</v>
    <v>Learn more on Bing</v>
  </rv>
  <rv s="1">
    <v>en-IN</v>
    <v>bju4qh</v>
    <v>268435456</v>
    <v>1</v>
    <v>Powered by Refinitiv</v>
    <v>0</v>
    <v>Ircon International Ltd (XNSE:IRCON)</v>
    <v>2</v>
    <v>3</v>
    <v>Finance</v>
    <v>4</v>
    <v>54</v>
    <v>39.1</v>
    <v>0.94069999999999998</v>
    <v>0.15</v>
    <v>3.663E-3</v>
    <v>INR</v>
    <v>Ircon International Limited is an India-based integrated engineering and construction company. It offers engineering procurement and construction (EPC) services on a lumpsum turnkey, EPC and item-rate basis for various infrastructure projects. It also executes projects on build, operate and transfer (BOT) mode and hybrid annuity mode (HAM). It provides services, such as project management consultancy (PMC), public private partnership, and real estate. It offers a range of PMC services from planning to commissioning in the entire projects. Its PMC services are provided for construction of railway sidings, highways, railway, and road over bridges and building. Its real estate services includes development, construction, and leasing of office realty spaces and development of commercial real estate. It serves various industries, such as railways, highways, bridges, flyovers, tunnels, metro, railway electrification, electrical and mechanical works, commercial and residential buildings.</v>
    <v>1298</v>
    <v>National Stock Exchange of India</v>
    <v>XNSE</v>
    <v>XNSE</v>
    <v>C-4, District Centre,, Saket, NEW DELHI, DELHI, 110017 IN</v>
    <v>41.2</v>
    <v>Construction &amp; Engineering</v>
    <v>Stock</v>
    <v>44642.471585648149</v>
    <v>374</v>
    <v>40.85</v>
    <v>38514120000</v>
    <v>Ircon International Ltd</v>
    <v>Ircon International Ltd</v>
    <v>41.2</v>
    <v>8.83</v>
    <v>40.950000000000003</v>
    <v>41.1</v>
    <v>940515700</v>
    <v>IRCON</v>
    <v>Ircon International Ltd (XNSE:IRCON)</v>
    <v>687040</v>
    <v>844330</v>
    <v>1976</v>
  </rv>
  <rv s="2">
    <v>375</v>
  </rv>
  <rv s="0">
    <v>https://www.bing.com/financeapi/forcetrigger?t=ahj1u2&amp;q=XNSE%3aMOTHERSUMI&amp;form=skydnc</v>
    <v>Learn more on Bing</v>
  </rv>
  <rv s="1">
    <v>en-IN</v>
    <v>ahj1u2</v>
    <v>268435456</v>
    <v>1</v>
    <v>Powered by Refinitiv</v>
    <v>0</v>
    <v>MOTHERSON SUMI SYSTEMS LIMITED (XNSE:MOTHERSUMI)</v>
    <v>2</v>
    <v>3</v>
    <v>Finance</v>
    <v>4</v>
    <v>226.54</v>
    <v>119.55</v>
    <v>1.7562</v>
    <v>3.1</v>
    <v>2.3256000000000002E-2</v>
    <v>INR</v>
    <v>Motherson Sumi Systems Limited is an India-based company manufacturing components for the automotive and transport industries . The Company, through its subsidiary Samvardhana Motherson Reflectec Group Holdings Limited, is engaged in developing, manufacturing and supplying rearview mirrors and driver assistance systems. The Company, through its subsidiary Samvardhana Motherson Automotive Systems Group B.V. (SMRP BV), is engaged in manufacturing and supplying plastic parts and system modules for vehicle interiors and exteriors. The Company, through its subsidiary PKC Group Oy, is engaged in designing, manufacturing and integrating electrical distribution systems, electronics and related components for commercial vehicle industries, rolling stock manufacturers and other related segments. The Company provides wiring harness, vision systems, modules and polymer products, precision metals and modules, technology and industrial solutions, lighting and electronics and logistics solutions.</v>
    <v>117862</v>
    <v>National Stock Exchange of India</v>
    <v>XNSE</v>
    <v>XNSE</v>
    <v>C-14 A&amp;B,, Sector-1,, NOIDA, UTTAR PRADESH, 201301 IN</v>
    <v>136.69999999999999</v>
    <v>Automobiles &amp; Auto Parts</v>
    <v>Stock</v>
    <v>44642.471574074072</v>
    <v>377</v>
    <v>131.05000000000001</v>
    <v>602198000000</v>
    <v>MOTHERSON SUMI SYSTEMS LIMITED</v>
    <v>MOTHERSON SUMI SYSTEMS LIMITED</v>
    <v>133.5</v>
    <v>45.15</v>
    <v>133.30000000000001</v>
    <v>136.4</v>
    <v>4517614000</v>
    <v>MOTHERSUMI</v>
    <v>MOTHERSON SUMI SYSTEMS LIMITED (XNSE:MOTHERSUMI)</v>
    <v>8101170</v>
    <v>19793360</v>
    <v>1986</v>
  </rv>
  <rv s="2">
    <v>378</v>
  </rv>
  <rv s="0">
    <v>https://www.bing.com/financeapi/forcetrigger?t=ahkmim&amp;q=XNSE%3aVOLTAS&amp;form=skydnc</v>
    <v>Learn more on Bing</v>
  </rv>
  <rv s="1">
    <v>en-IN</v>
    <v>ahkmim</v>
    <v>268435456</v>
    <v>1</v>
    <v>Powered by Refinitiv</v>
    <v>0</v>
    <v>VOLTAS LIMITED (XNSE:VOLTAS)</v>
    <v>2</v>
    <v>3</v>
    <v>Finance</v>
    <v>4</v>
    <v>1356.9</v>
    <v>918</v>
    <v>0.89759999999999995</v>
    <v>-5.45</v>
    <v>-4.2290000000000001E-3</v>
    <v>INR</v>
    <v>Voltas Limited is an India-based company, which is engaged in providing air conditioning and cooling products, engineering projects and engineering products and services. Its segment includes Unitary Cooling Products for Comfort and Commercial use segment, which is engaged in manufacturing, selling and after sales services of cooling appliances and cold storage products; Electro - Mechanical Projects and Services segment, which includes electricals, HVAC (heating, ventilation and air conditioning), plumbing, firefighting, extra low voltage (ELV) and specialized services, Facilities Maintenance and Hard Services, which include Operations and Maintenance (O&amp;M) contracts in various sectors, retrofits and energy management and Water Solutions, which include water treatment solutions for industrial, oil and gas and domestic sewage segments and Engineering Products and Services segment, which consists of textile machinery and mining and construction equipment.</v>
    <v>8617</v>
    <v>National Stock Exchange of India</v>
    <v>XNSE</v>
    <v>XNSE</v>
    <v>Voltas House, A' Block, Dr. Babasaheb Ambedkar Road, MUMBAI, MAHARASHTRA, 400033 IN</v>
    <v>1288</v>
    <v>Machinery, Equipment &amp; Components</v>
    <v>Stock</v>
    <v>44642.471562500003</v>
    <v>380</v>
    <v>1238.0999999999999</v>
    <v>426411200000</v>
    <v>VOLTAS LIMITED</v>
    <v>VOLTAS LIMITED</v>
    <v>1288</v>
    <v>76.319999999999993</v>
    <v>1288.7</v>
    <v>1283.25</v>
    <v>330884700</v>
    <v>VOLTAS</v>
    <v>VOLTAS LIMITED (XNSE:VOLTAS)</v>
    <v>1856642</v>
    <v>1658560</v>
    <v>1954</v>
  </rv>
  <rv s="2">
    <v>381</v>
  </rv>
  <rv s="0">
    <v>https://www.bing.com/financeapi/forcetrigger?t=ahh6p2&amp;q=XNSE%3aBHANDARI&amp;form=skydnc</v>
    <v>Learn more on Bing</v>
  </rv>
  <rv s="10">
    <v>en-IN</v>
    <v>ahh6p2</v>
    <v>268435456</v>
    <v>1</v>
    <v>Powered by Refinitiv</v>
    <v>18</v>
    <v>BHANDARI HOSIERY EXPORTS LTD (XNSE:BHANDARI)</v>
    <v>2</v>
    <v>19</v>
    <v>Finance</v>
    <v>4</v>
    <v>14.7</v>
    <v>2</v>
    <v>1.7229000000000001</v>
    <v>0.1</v>
    <v>1.2121E-2</v>
    <v>INR</v>
    <v>Bhandari Hosiery Exports Limited is an India-based textiles and garment manufacturing company. The company is engaged in the manufacture of knitted fabrics kora and dyed. The Company is primarily involved in the manufacture and export of knitted hosiery garments, which includes t- shirts, pullovers, sweatshirts, Bermudas, polo shirts, track suits, pajamas, lowers, ladies knitted tops with embroidery and prints. It offers yarns and fabrics, colors, prints, packaging, labelling and all things associated with garment. It manufactures, processes and trades dyed and non-dyed fabrics at domestic and international levels. The Company provides textile solution, which includes from design and development to knitting, dyeing, finishing, and garmenting. It specializes in polyester, viscose and lycra blends. It is also involved in printing and embroidery, which includes transfer prints, screen print, digital prints and sublimation prints to develop multicolored prints.</v>
    <v>National Stock Exchange of India</v>
    <v>XNSE</v>
    <v>XNSE</v>
    <v>Bhandari House,, Village Meherban,, Rahon Road,, LUDHIANA, PUNJAB, 141007 IN</v>
    <v>8.6</v>
    <v>Textiles &amp; Apparel</v>
    <v>Stock</v>
    <v>44642.471863425926</v>
    <v>383</v>
    <v>8.1</v>
    <v>1208847000</v>
    <v>BHANDARI HOSIERY EXPORTS LTD</v>
    <v>BHANDARI HOSIERY EXPORTS LTD</v>
    <v>8.25</v>
    <v>20.350000000000001</v>
    <v>8.25</v>
    <v>8.35</v>
    <v>146526900</v>
    <v>BHANDARI</v>
    <v>BHANDARI HOSIERY EXPORTS LTD (XNSE:BHANDARI)</v>
    <v>264876</v>
    <v>401700</v>
    <v>1993</v>
  </rv>
  <rv s="2">
    <v>384</v>
  </rv>
  <rv s="0">
    <v>https://www.bing.com/financeapi/forcetrigger?t=ahk2ww&amp;q=XNSE%3aSPIC&amp;form=skydnc</v>
    <v>Learn more on Bing</v>
  </rv>
  <rv s="1">
    <v>en-IN</v>
    <v>ahk2ww</v>
    <v>268435456</v>
    <v>1</v>
    <v>Powered by Refinitiv</v>
    <v>0</v>
    <v>SOUTHERN PETROCHEMICAL INDUSTRIES CORPORATION LIMITED (XNSE:SPIC)</v>
    <v>2</v>
    <v>3</v>
    <v>Finance</v>
    <v>4</v>
    <v>75.5</v>
    <v>27.05</v>
    <v>1.6380999999999999</v>
    <v>3.4</v>
    <v>4.8056999999999996E-2</v>
    <v>INR</v>
    <v>Southern Petrochemical Industries Corporation Limited is an India-based company, which is involved in manufacturing and selling Urea. The Company has its manufacturing facility at Tuticorin. The Company operates through two segments: Agro inputs - Urea Operations and Others - Agri Business. The Company’s products include Primary Nutrients, Secondary Nutrients, Micro Nutrients, Water Soluble Fertilizers, Organic Fertilizers, Non Edible De-Oiled Cake Fertilizers, Bio Fertilizers, Bio Pesticides, Plant Biostimulants and Industrial Products. The Company’s soil testing laboratory at Tuticorin analyses macro and micronutrients, organic carbon, soil texture and other to advise the farmers on steps to be taken to improve soil health and increase productivity.</v>
    <v>636</v>
    <v>National Stock Exchange of India</v>
    <v>XNSE</v>
    <v>XNSE</v>
    <v>SPIC House, 88 Mount Road, Guindy, CHENNAI, TAMIL NADU, 600032 IN</v>
    <v>75.5</v>
    <v>Chemicals</v>
    <v>Stock</v>
    <v>44642.471550925926</v>
    <v>386</v>
    <v>68.7</v>
    <v>14407550000</v>
    <v>SOUTHERN PETROCHEMICAL INDUSTRIES CORPORATION LIMITED</v>
    <v>SOUTHERN PETROCHEMICAL INDUSTRIES CORPORATION LIMITED</v>
    <v>71.3</v>
    <v>6.16</v>
    <v>70.75</v>
    <v>74.150000000000006</v>
    <v>203640300</v>
    <v>SPIC</v>
    <v>SOUTHERN PETROCHEMICAL INDUSTRIES CORPORATION LIMITED (XNSE:SPIC)</v>
    <v>11242868</v>
    <v>2841760</v>
    <v>1969</v>
  </rv>
  <rv s="2">
    <v>387</v>
  </rv>
  <rv s="0">
    <v>https://www.bing.com/financeapi/forcetrigger?t=brgdww&amp;q=XNSE%3aSAFARI&amp;form=skydnc</v>
    <v>Learn more on Bing</v>
  </rv>
  <rv s="3">
    <v>en-IN</v>
    <v>brgdww</v>
    <v>268435456</v>
    <v>1</v>
    <v>Powered by Refinitiv</v>
    <v>5</v>
    <v>SAFARI INDUSTRIES (INDIA) LIMITED (XNSE:SAFARI)</v>
    <v>2</v>
    <v>6</v>
    <v>Finance</v>
    <v>4</v>
    <v>1051.05</v>
    <v>542.04999999999995</v>
    <v>9.4</v>
    <v>1.0046999999999999E-2</v>
    <v>INR</v>
    <v>Safari Industries (India) Limited is an India-based company that is primarily engaged in the manufacturing and marketing of luggage and luggage accessories. The Company’s products include luggage and backpacks. Its luggage categories include hard luggage, soft luggage, lightweight luggage and TSA luggage. The Company offers its luggage products in a range of sizes, which includes carry on, checked in medium and checked in large. Its luggage products are used on various occasions, including vacations, work, international travel and weekend getaways. Its backpack categories include an everyday casual backpack, laptop backpack, rucksack, concept backpack and overnighter. The Company’s backpack is used on various occasions, which includes adventure, work, back to school, weekend getaways and travel. The Company offers brands, including Safari, MAGNUM, GENiUS and Genie. The Company’s wholly owned subsidiary is Safari Lifestyles Limited.</v>
    <v>1077</v>
    <v>National Stock Exchange of India</v>
    <v>XNSE</v>
    <v>XNSE</v>
    <v>(E) Andheri, Mathuradas Vasanji Road, MUMBAI, MAHARASHTRA, 400059 IN</v>
    <v>950.6</v>
    <v>Textiles &amp; Apparel</v>
    <v>Stock</v>
    <v>44642.471759259257</v>
    <v>389</v>
    <v>921.45</v>
    <v>20947620000</v>
    <v>SAFARI INDUSTRIES (INDIA) LIMITED</v>
    <v>SAFARI INDUSTRIES (INDIA) LIMITED</v>
    <v>945</v>
    <v>80.040000000000006</v>
    <v>935.6</v>
    <v>945</v>
    <v>22389500</v>
    <v>SAFARI</v>
    <v>SAFARI INDUSTRIES (INDIA) LIMITED (XNSE:SAFARI)</v>
    <v>8295</v>
    <v>14170</v>
    <v>1980</v>
  </rv>
  <rv s="2">
    <v>390</v>
  </rv>
  <rv s="0">
    <v>https://www.bing.com/financeapi/forcetrigger?t=aysetc&amp;q=XNSE%3aAMBER&amp;form=skydnc</v>
    <v>Learn more on Bing</v>
  </rv>
  <rv s="1">
    <v>en-IN</v>
    <v>aysetc</v>
    <v>268435456</v>
    <v>1</v>
    <v>Powered by Refinitiv</v>
    <v>0</v>
    <v>AMBER ENTERPRISES INDIA LIMITED (XNSE:AMBER)</v>
    <v>2</v>
    <v>3</v>
    <v>Finance</v>
    <v>4</v>
    <v>3924.75</v>
    <v>2683.6</v>
    <v>0.50990000000000002</v>
    <v>-66.349999999999994</v>
    <v>-1.7972999999999999E-2</v>
    <v>INR</v>
    <v>Amber Enterprises India Limited is an India-based original equipment manufacturer. The Company is engaged in the business of manufacturing a range of products, including air conditioners, electronics and refrigeration solutions to railways, microwave ovens, washing machines, refrigerators, heat exchangers, sheet metal components, heating, ventilation and air conditioning (HVAC) products and services for mobility applications. It designs and manufactures a range of racs, including window air conditioners (WACS) and indoor units (IDUS) and outdoor units (ODUS) of split air conditioners (SACS) with specifications ranging from 0.75 ton to 2 tons, across energy ratings. It also manufactures components other durables and automobiles, such as case liners for refrigerator, plastic extrusion sheets, sheet metal components for microwave, washing machine tub assemblies with other sheet metal and plastic injection molding and extrusion components for automobiles and metal ceiling industries.</v>
    <v>1397</v>
    <v>National Stock Exchange of India</v>
    <v>XNSE</v>
    <v>XNSE</v>
    <v>Universal Trade Tower, 1st Floor, Sector 49, Sohna Road, GURGAON, HARYANA, 122018 IN</v>
    <v>3709.8</v>
    <v>Computers, Phones &amp; Household Electronics</v>
    <v>Stock</v>
    <v>44642.471516203703</v>
    <v>392</v>
    <v>3613.25</v>
    <v>124387100000</v>
    <v>AMBER ENTERPRISES INDIA LIMITED</v>
    <v>AMBER ENTERPRISES INDIA LIMITED</v>
    <v>3709.8</v>
    <v>100.77</v>
    <v>3691.7</v>
    <v>3625.35</v>
    <v>33693730</v>
    <v>AMBER</v>
    <v>AMBER ENTERPRISES INDIA LIMITED (XNSE:AMBER)</v>
    <v>23893</v>
    <v>81160</v>
    <v>1990</v>
  </rv>
  <rv s="2">
    <v>393</v>
  </rv>
  <rv s="0">
    <v>https://www.bing.com/financeapi/forcetrigger?t=ahhktc&amp;q=XNSE%3aDMART&amp;form=skydnc</v>
    <v>Learn more on Bing</v>
  </rv>
  <rv s="1">
    <v>en-IN</v>
    <v>ahhktc</v>
    <v>268435456</v>
    <v>1</v>
    <v>Powered by Refinitiv</v>
    <v>0</v>
    <v>AVENUE SUPERMARTS LIMITED (XNSE:DMART)</v>
    <v>2</v>
    <v>3</v>
    <v>Finance</v>
    <v>4</v>
    <v>5900</v>
    <v>2676.4</v>
    <v>0.41920000000000002</v>
    <v>-41.2</v>
    <v>-1.0061E-2</v>
    <v>INR</v>
    <v>Avenue Supermarts Limited is an India-based company, which owns and operates DMart stores. DMart is a supermarket chain that offers customers a range of products with a focus on the foods, non-foods (FMCG) and general merchandise and apparel product categories. Each DMart store stocks home utility products, including food, toiletries, beauty products, garments, kitchenware, bed and bath linen, home appliances and others. The Company offers its products under various categories, such as bed and bath, dairy and frozen, fruits and vegetables, crockery, toys and games, kids apparel, ladies garments, apparel for men, home and personal care, daily essentials, grocery and staples, and DMart brands. DMart operates approximately 246 stores and has presence across Maharashtra, Gujarat, Andhra Pradesh, Madhya Pradesh, Karnataka, Telangana and Chhattisgarh. The Company has multiple stores in cities, such as Mumbai, Ahmedabad, Baroda, Bengaluru, Hyderabad, Pune and Surat.</v>
    <v>10175</v>
    <v>National Stock Exchange of India</v>
    <v>XNSE</v>
    <v>XNSE</v>
    <v>B - 72/72A, Wagle Industrial Estate,, Road No. 33, Kamgar Hospital Road,, 400604 IN</v>
    <v>4129</v>
    <v>Food &amp; Drug Retailing</v>
    <v>Stock</v>
    <v>44642.471863425926</v>
    <v>395</v>
    <v>4031</v>
    <v>2652808000000</v>
    <v>AVENUE SUPERMARTS LIMITED</v>
    <v>AVENUE SUPERMARTS LIMITED</v>
    <v>4129</v>
    <v>179.25</v>
    <v>4095.2</v>
    <v>4054</v>
    <v>647784700</v>
    <v>DMART</v>
    <v>AVENUE SUPERMARTS LIMITED (XNSE:DMART)</v>
    <v>396898</v>
    <v>494520</v>
    <v>2000</v>
  </rv>
  <rv s="2">
    <v>396</v>
  </rv>
  <rv s="0">
    <v>https://www.bing.com/financeapi/forcetrigger?t=brazfr&amp;q=XBOM%3a542753&amp;form=skydnc</v>
    <v>Learn more on Bing</v>
  </rv>
  <rv s="11">
    <v>en-IN</v>
    <v>brazfr</v>
    <v>268435456</v>
    <v>1</v>
    <v>Powered by Refinitiv</v>
    <v>20</v>
    <v>SEACOAST SHIPPING SERVICES LIMITED (XBOM:542753)</v>
    <v>2</v>
    <v>21</v>
    <v>Finance</v>
    <v>22</v>
    <v>26.5</v>
    <v>12.25</v>
    <v>-0.63</v>
    <v>-4.5586000000000002E-2</v>
    <v>INR</v>
    <v>Seacoast Shipping Services Ltd, formerly Mahaan Impex Ltd is an India-based company. The Company’s principal business activity is wholesale trading of textile and logistics. The Company focuses to carry on the business of export, import, buying, selling and producing all kinds of textile business. It focuses on textile business, including formulation of jute, jute goods, jute cuttings, jute rejections, cotton, cotton textiles, yarn, wool, silk, handicrafts, flax, rayon, nylon and other fibrous materials and man-made fibers.</v>
    <v>Bombay Stock Exchange</v>
    <v>XBOM</v>
    <v>XBOM</v>
    <v>Second Floor, Block-N, Mondeal Retail Park, T.P.No.50, Nr. Rangoli Park, S.G.Highway, Bodakdev, AHMEDABAD, GUJARAT, 380054 IN</v>
    <v>14.15</v>
    <v>Stock</v>
    <v>44642.438437500001</v>
    <v>398</v>
    <v>12.9</v>
    <v>SEACOAST SHIPPING SERVICES LIMITED</v>
    <v>SEACOAST SHIPPING SERVICES LIMITED</v>
    <v>14.15</v>
    <v>13.82</v>
    <v>13.19</v>
    <v>542753</v>
    <v>SEACOAST SHIPPING SERVICES LIMITED (XBOM:542753)</v>
    <v>1167690</v>
  </rv>
  <rv s="2">
    <v>399</v>
  </rv>
  <rv s="0">
    <v>https://www.bing.com/financeapi/forcetrigger?t=ahh9h7&amp;q=XNSE%3aBPCL&amp;form=skydnc</v>
    <v>Learn more on Bing</v>
  </rv>
  <rv s="1">
    <v>en-IN</v>
    <v>ahh9h7</v>
    <v>268435456</v>
    <v>1</v>
    <v>Powered by Refinitiv</v>
    <v>0</v>
    <v>BHARAT PETROLEUM CORPORATION LIMITED (XNSE:BPCL)</v>
    <v>2</v>
    <v>3</v>
    <v>Finance</v>
    <v>4</v>
    <v>470</v>
    <v>331.1</v>
    <v>1.2511000000000001</v>
    <v>11.2</v>
    <v>3.1355000000000001E-2</v>
    <v>INR</v>
    <v>Bharat Petroleum Corporation Limited is engaged in the business of refining of crude oil and marketing of petroleum products. The Company offers variety of products, such as petrol, diesel, automotive liquefied petroleum gas (LPG) and compressed natural gas (CNG). Its business includes fuel services, such as SmartFleet, Speed 97, UFill, PetroCard, SmartDrive, and FuelKart; Bharatgas, which provides end-to-end solutions and services to domestic and commercial; MAK Lubricants, which provides automobile lubricants for bikes and scooters, auto and CNG, truck and buses, agriculture, grease, and marine boats; Aviation services, which is involved in the production of jet fuel at refineries; Refineries, which includes Mumbai Refinery, Kochi Refinery, and Bina Refinery; Gas, which includes Natural Gas, and International Trade, which includes imports, such as Gasoline, Base Oils, Bitumen and Petrochemicals and exports, which are carried on free on board (FOB)and cost and freight (CFR) basis.</v>
    <v>9251</v>
    <v>National Stock Exchange of India</v>
    <v>XNSE</v>
    <v>XNSE</v>
    <v>Bharath Bhavan, Belosd, Po.Box No.688, NAGPUR, MAHARASHTRA IN</v>
    <v>369.7</v>
    <v>Oil &amp; Gas</v>
    <v>Stock</v>
    <v>44642.471493055556</v>
    <v>401</v>
    <v>356.7</v>
    <v>772414900000</v>
    <v>BHARAT PETROLEUM CORPORATION LIMITED</v>
    <v>BHARAT PETROLEUM CORPORATION LIMITED</v>
    <v>358.85</v>
    <v>3.83</v>
    <v>357.2</v>
    <v>368.4</v>
    <v>2162416000</v>
    <v>BPCL</v>
    <v>BHARAT PETROLEUM CORPORATION LIMITED (XNSE:BPCL)</v>
    <v>7467189</v>
    <v>7713510</v>
    <v>1952</v>
  </rv>
  <rv s="2">
    <v>402</v>
  </rv>
  <rv s="0">
    <v>https://www.bing.com/financeapi/forcetrigger?t=bppmsm&amp;q=XNSE%3aRVNL&amp;form=skydnc</v>
    <v>Learn more on Bing</v>
  </rv>
  <rv s="3">
    <v>en-IN</v>
    <v>bppmsm</v>
    <v>268435456</v>
    <v>1</v>
    <v>Powered by Refinitiv</v>
    <v>5</v>
    <v>RAIL VIKAS NIGAM LIMITED (XNSE:RVNL)</v>
    <v>2</v>
    <v>6</v>
    <v>Finance</v>
    <v>4</v>
    <v>44.8</v>
    <v>26.35</v>
    <v>0</v>
    <v>0</v>
    <v>INR</v>
    <v>Rail Vikas Nigam Limited (RVNL) is a special purpose vehicle (SPV) engaged in undertaking development projects. RVNL is focused on mobilizing financial resources and implement projects pertaining to reinforcement of Golden Quadrilateral. RVNL executes all types of railway projects including new lines, doubling, gauge conversion, railway electrification, metro projects, workshops, major bridges, construction of cable stayed bridges, and institutional buildings. It works on a turnkey basis and undertakes the full cycle of project development from conceptualization to commissioning including stages of design, preparation of estimates, calling contracts, project and contract management. RVNL has implemented various rail infrastructure projects, which include Diva - Kalyan 5th &amp; 6th Line; Gurup - Saktigarh Extn of 3rd Line; Jakhapura- Haridaspur 3rd Line; Karjoda - Palanpur Doubling, and Civil Engineering Works in connection with diesel loco component factory, Dankuni.</v>
    <v>208</v>
    <v>National Stock Exchange of India</v>
    <v>XNSE</v>
    <v>XNSE</v>
    <v>August Kranti Bhawan, Bhikaji Cama Place, R. K. Puram, Plot No. 25, First Floor, NEW DELHI, DELHI, 110066 IN</v>
    <v>36.25</v>
    <v>Construction &amp; Engineering</v>
    <v>Stock</v>
    <v>44642.471701388888</v>
    <v>404</v>
    <v>35.6</v>
    <v>74643720000</v>
    <v>RAIL VIKAS NIGAM LIMITED</v>
    <v>RAIL VIKAS NIGAM LIMITED</v>
    <v>36.15</v>
    <v>6.67</v>
    <v>35.799999999999997</v>
    <v>35.799999999999997</v>
    <v>2085020000</v>
    <v>RVNL</v>
    <v>RAIL VIKAS NIGAM LIMITED (XNSE:RVNL)</v>
    <v>4360589</v>
    <v>3473400</v>
    <v>2003</v>
  </rv>
  <rv s="2">
    <v>405</v>
  </rv>
  <rv s="0">
    <v>https://www.bing.com/financeapi/forcetrigger?t=axdbzr&amp;q=XBOM%3a540786&amp;form=skydnc</v>
    <v>Learn more on Bing</v>
  </rv>
  <rv s="10">
    <v>en-IN</v>
    <v>axdbzr</v>
    <v>268435456</v>
    <v>1</v>
    <v>Powered by Refinitiv</v>
    <v>18</v>
    <v>SHARIKA ENTERPRISES LIMITED (XBOM:540786)</v>
    <v>2</v>
    <v>19</v>
    <v>Finance</v>
    <v>22</v>
    <v>37.049999999999997</v>
    <v>8</v>
    <v>1.1032999999999999</v>
    <v>0.9</v>
    <v>4.8517999999999999E-2</v>
    <v>INR</v>
    <v>Sharika Enterprises Limited is an India-based company that is engaged in the business of management consultancy and project execution services in the power sector. The Company is engaged in engineering procurement construction (EPC) contracts, specialized assembling, trading activities, erection services, representation services to power generation, transmission and distribution sector. The Company is also engaged in trading of light-emitting diode (LED) lights, extra high voltage (EHV) cables and accessories, power capacitors, switchgears and cast resin transformers. The Company's portfolio covers installing power transmission EHV cables; designing and installing energy management system (EMS) and allied distribution automation equipment, such as auto reclosers, fault passage indicators (FPI) and others, and designing and installing of solar power generation plants. The Company's subsidiary is Sharika Lightec Private Limited.</v>
    <v>Bombay Stock Exchange</v>
    <v>XBOM</v>
    <v>XBOM</v>
    <v>B-124, Sector-67, NOIDA, UTTAR PRADESH, 201310 IN</v>
    <v>19.45</v>
    <v>Construction &amp; Engineering</v>
    <v>Stock</v>
    <v>44642.438449074078</v>
    <v>407</v>
    <v>18.899999999999999</v>
    <v>803215000</v>
    <v>SHARIKA ENTERPRISES LIMITED</v>
    <v>SHARIKA ENTERPRISES LIMITED</v>
    <v>19.45</v>
    <v>27.33</v>
    <v>18.55</v>
    <v>19.45</v>
    <v>43300000</v>
    <v>540786</v>
    <v>SHARIKA ENTERPRISES LIMITED (XBOM:540786)</v>
    <v>144072</v>
    <v>411300</v>
    <v>1998</v>
  </rv>
  <rv s="2">
    <v>408</v>
  </rv>
  <rv s="0">
    <v>https://www.bing.com/financeapi/forcetrigger?t=ahj6hw&amp;q=XNSE%3aNFL&amp;form=skydnc</v>
    <v>Learn more on Bing</v>
  </rv>
  <rv s="1">
    <v>en-IN</v>
    <v>ahj6hw</v>
    <v>268435456</v>
    <v>1</v>
    <v>Powered by Refinitiv</v>
    <v>0</v>
    <v>NATIONAL FERTILIZERS LIMITED (XNSE:NFL)</v>
    <v>2</v>
    <v>3</v>
    <v>Finance</v>
    <v>4</v>
    <v>73.7</v>
    <v>41.05</v>
    <v>1.3781000000000001</v>
    <v>1.2</v>
    <v>2.3120999999999999E-2</v>
    <v>INR</v>
    <v>National Fertilizers Limited (NFL) is engaged in the manufacturing of Urea. The Company is engaged in the production and marketing of Neem Coated Urea, Bio-Fertilizers (solid &amp; liquid), and other allied Industrial products like Ammonia, Nitric Acid, Ammonium Nitrate, Sodium Nitrite, and Sodium Nitrate. It also engaged in trading of Imported and Domestic Fertilizers, Compost, Seeds, Agro Chemicals and other Agro products. Its operating segments include Own Fertilizers (Urea, Bio-Fertilizers and Bentonite Fertilizers), Fertilizers Trading (Indigenous and Imported), and Other Products &amp; Services (Industrial Products, Traded Seeds, Seeds Multiplication Programme). The Company provides three types of bio-fertilizers, including phosphate solubilizing bacteria (PSB), rhizobium, and azotobacter. Its fertilizers, such as diammonium phosphate and bentonite sulfur, various other agro-inputs, including certified seeds, and agro-chemicals, such as compost, insecticides, and herbicides.</v>
    <v>3213</v>
    <v>National Stock Exchange of India</v>
    <v>XNSE</v>
    <v>XNSE</v>
    <v>A-11, Sector - 24, Gautam Budh Nagar, NOIDA, UTTAR PRADESH, 201301 IN</v>
    <v>53.5</v>
    <v>Chemicals</v>
    <v>Stock</v>
    <v>44642.471770833334</v>
    <v>410</v>
    <v>51.55</v>
    <v>25461020000</v>
    <v>NATIONAL FERTILIZERS LIMITED</v>
    <v>NATIONAL FERTILIZERS LIMITED</v>
    <v>51.95</v>
    <v>0</v>
    <v>51.9</v>
    <v>53.1</v>
    <v>490578400</v>
    <v>NFL</v>
    <v>NATIONAL FERTILIZERS LIMITED (XNSE:NFL)</v>
    <v>1566021</v>
    <v>1446470</v>
    <v>1974</v>
  </rv>
  <rv s="2">
    <v>411</v>
  </rv>
  <rv s="0">
    <v>https://www.bing.com/financeapi/forcetrigger?t=ahj2f2&amp;q=XNSE%3aMRPL&amp;form=skydnc</v>
    <v>Learn more on Bing</v>
  </rv>
  <rv s="1">
    <v>en-IN</v>
    <v>ahj2f2</v>
    <v>268435456</v>
    <v>1</v>
    <v>Powered by Refinitiv</v>
    <v>0</v>
    <v>MANGALORE REFINERY AND PETROCHEMICALS LIMITED (XNSE:MRPL)</v>
    <v>2</v>
    <v>3</v>
    <v>Finance</v>
    <v>4</v>
    <v>57.8</v>
    <v>35.299999999999997</v>
    <v>1.4991000000000001</v>
    <v>0.95</v>
    <v>2.2863999999999999E-2</v>
    <v>INR</v>
    <v>Mangalore Refinery and Petrochemicals Limited is an India-based company, which is engaged in the business of refining of crude oil. The Company is involved in production of liquid or gaseous fuels, illuminating oils, lubricating oils or greases or other products from crude petroleum. It manufactures other petroleum products namely petroleum bitumen petrochemicals- polypropylene. The Company is also engaged in trading of aviation fuels and distribution of petroleum products through retail outlets and transport terminals. The Company offers retail business with a retail brand HiQ. It provides service stations, which offers customers a variety of fuel products, as well as services and convenience retailing at Mangalore, Hubli, Maddur, Mandya and Gubbi,Tumkur in Karnataka. Its products include high speed diesel (HSD), motor spirit (MS), and aviation turbine fuel.It owns and operates ONGC Mangalore Petrochemicals Limited (OMPL), which is a petrochemical unit.</v>
    <v>1939</v>
    <v>National Stock Exchange of India</v>
    <v>XNSE</v>
    <v>XNSE</v>
    <v>Core - 8 , 7th Floor,, Scope Complex , Lodhi Road, NEW DELHI, DELHI IN</v>
    <v>43.8</v>
    <v>Oil &amp; Gas</v>
    <v>Stock</v>
    <v>44642.471539351849</v>
    <v>413</v>
    <v>41.55</v>
    <v>72820480000</v>
    <v>MANGALORE REFINERY AND PETROCHEMICALS LIMITED</v>
    <v>MANGALORE REFINERY AND PETROCHEMICALS LIMITED</v>
    <v>41.55</v>
    <v>35.78</v>
    <v>41.55</v>
    <v>42.5</v>
    <v>1752599000</v>
    <v>MRPL</v>
    <v>MANGALORE REFINERY AND PETROCHEMICALS LIMITED (XNSE:MRPL)</v>
    <v>3719008</v>
    <v>1838380</v>
    <v>1988</v>
  </rv>
  <rv s="2">
    <v>414</v>
  </rv>
  <rv s="0">
    <v>http://en.wikipedia.org/wiki/ICICI_Bank</v>
    <v>Wikipedia</v>
  </rv>
  <rv s="4">
    <v>30</v>
    <v>416</v>
  </rv>
  <rv s="5">
    <v>11</v>
    <v>https://www.bing.com/th?id=AMMS_7a55564cbcf9b185c2bd50f7f3a85b23&amp;qlt=95</v>
    <v>417</v>
    <v>0</v>
    <v>https://www.bing.com/images/search?form=xlimg&amp;q=icici+bank</v>
    <v>Image of ICICI BANK LIMITED</v>
  </rv>
  <rv s="0">
    <v>https://www.bing.com/financeapi/forcetrigger?t=ahi877&amp;q=XNSE%3aICICIBANK&amp;form=skydnc</v>
    <v>Learn more on Bing</v>
  </rv>
  <rv s="6">
    <v>en-IN</v>
    <v>ahi877</v>
    <v>268435456</v>
    <v>1</v>
    <v>Powered by Refinitiv</v>
    <v>7</v>
    <v>ICICI BANK LIMITED (XNSE:ICICIBANK)</v>
    <v>9</v>
    <v>10</v>
    <v>Finance</v>
    <v>4</v>
    <v>867</v>
    <v>531.15</v>
    <v>1.3338000000000001</v>
    <v>7.45</v>
    <v>1.0482E-2</v>
    <v>INR</v>
    <v>ICICI Bank Limited (the Bank) is a banking company. The Bank is engaged in providing a range of banking and financial services including commercial banking and treasury operations. The Bank's business segments include Retail Banking, Wholesale Banking, Treasury, and Other Banking. The Bank provides a range of products, which includes savings account, women’s account, senior citizen account, current accounts, credit cards, home loan, personal loan, car loan, gold loan, fixed deposit, recurring deposit, life insurance, and general insurance. It provides a range of Internet banking services, which includes pay bills, raise service request, and make transfers. It also offers a range of mobile banking services, which includes iMobile Pay, short message service (SMS) banking, Call to Pay, and immediate payment service (IMPS). Its general insurance products include health insurance, travel insurance, home insurance, two wheeler insurance, and car insurance.</v>
    <v>97488</v>
    <v>National Stock Exchange of India</v>
    <v>XNSE</v>
    <v>XNSE</v>
    <v>ICICI Bank Towers, Bandra-Kurla Complex, MUMBAI, MAHARASHTRA, 400051 IN</v>
    <v>721</v>
    <v>418</v>
    <v>Banking Services</v>
    <v>Stock</v>
    <v>44642.471585648149</v>
    <v>419</v>
    <v>699.5</v>
    <v>4938461000000</v>
    <v>ICICI BANK LIMITED</v>
    <v>ICICI BANK LIMITED</v>
    <v>708.65</v>
    <v>22.1</v>
    <v>710.75</v>
    <v>718.2</v>
    <v>6948239000</v>
    <v>ICICIBANK</v>
    <v>ICICI BANK LIMITED (XNSE:ICICIBANK)</v>
    <v>11761758</v>
    <v>24293380</v>
    <v>1994</v>
  </rv>
  <rv s="2">
    <v>420</v>
  </rv>
  <rv s="0">
    <v>https://www.bing.com/financeapi/forcetrigger?t=ahhxmw&amp;q=XNSE%3aGOKULAGRO&amp;form=skydnc</v>
    <v>Learn more on Bing</v>
  </rv>
  <rv s="1">
    <v>en-IN</v>
    <v>ahhxmw</v>
    <v>268435456</v>
    <v>1</v>
    <v>Powered by Refinitiv</v>
    <v>0</v>
    <v>GOKUL AGRO RESOURCES LIMITED (XNSE:GOKULAGRO)</v>
    <v>2</v>
    <v>3</v>
    <v>Finance</v>
    <v>4</v>
    <v>84</v>
    <v>18.899999999999999</v>
    <v>1.417</v>
    <v>-0.2</v>
    <v>-2.8549999999999999E-3</v>
    <v>INR</v>
    <v>Gokul Agro Resources Limited is an India-based company, which is engaged in the business of manufacturing and trading of edible and non-edible oil, meals and other agro products. The Company offers agro-based commodities under various product groups, including soybean, palmolive, cotton seed oil, sunflower oil, castor oil, oil cakes, de-oiled cakes, vanaspati, oil seeds and other agro-commodities. Its Castor Oil Derivatives include castor oil commercial grade, first pressed degummed grade, castor oil first special grade, castor oil pale pressed grade oil, pharmaceutical grade and castor oil extra pale grade, among others. Its Oleochemical Products include soya lecithin-industrial grade, soya fatty acid distillate (Sfad), soya acid oil, palm fatty acid distillate (Pfad) and palm kernel fatty acid distillate (Pkfad), among others. Its Feed and Other Meals include castor seed meal and soyabean meal. Its other products include Edible Oil, and Cereals, Spices and Oil seeds.</v>
    <v>549</v>
    <v>National Stock Exchange of India</v>
    <v>XNSE</v>
    <v>XNSE</v>
    <v>801 to 805, Dwarkesh Business Hub Survey No. 126/1,, Opp Visamo Society, B/H Atishay, AHMEDABAD, GUJARAT, 380005 IN</v>
    <v>71</v>
    <v>Food &amp; Tobacco</v>
    <v>Stock</v>
    <v>44642.471770833334</v>
    <v>422</v>
    <v>68.400000000000006</v>
    <v>10022220000</v>
    <v>GOKUL AGRO RESOURCES LIMITED</v>
    <v>GOKUL AGRO RESOURCES LIMITED</v>
    <v>70.05</v>
    <v>11.32</v>
    <v>70.05</v>
    <v>69.849999999999994</v>
    <v>143072400</v>
    <v>GOKULAGRO</v>
    <v>GOKUL AGRO RESOURCES LIMITED (XNSE:GOKULAGRO)</v>
    <v>39290</v>
    <v>57710</v>
    <v>2014</v>
  </rv>
  <rv s="2">
    <v>423</v>
  </rv>
  <rv s="0">
    <v>https://www.bing.com/financeapi/forcetrigger?t=ahhxk2&amp;q=XNSE%3aGOKUL&amp;form=skydnc</v>
    <v>Learn more on Bing</v>
  </rv>
  <rv s="1">
    <v>en-IN</v>
    <v>ahhxk2</v>
    <v>268435456</v>
    <v>1</v>
    <v>Powered by Refinitiv</v>
    <v>0</v>
    <v>GOKUL REFOILS AND SOLVENT LIMITED (XNSE:GOKUL)</v>
    <v>2</v>
    <v>3</v>
    <v>Finance</v>
    <v>4</v>
    <v>47.8</v>
    <v>16.350000000000001</v>
    <v>1.4377</v>
    <v>-0.65</v>
    <v>-1.8335999999999998E-2</v>
    <v>INR</v>
    <v>Gokul Refoils and Solvent Limited is an India-based company, which is engaged primarily in the business of processing and refining crude oil for edible use. The Company is also engaged in the business of seed processing, solvent extraction, refining of edible oils and non-edible industrial oil such as castor oil. The Company processes various types of oils, including Kachi Ghani oil, Mustard oil, Groundnut oil, Refined Cottonseed oil, Soybean Refined oil, Palmolein and Castor oil. The Company is also trading in agro commodities including spices in the domestic and international market. The Company operates through Agro based commodities segment. The Company offers its edible oil products under the Gokul brand.</v>
    <v>478</v>
    <v>National Stock Exchange of India</v>
    <v>XNSE</v>
    <v>XNSE</v>
    <v>Gokul House, 43, Shreemali CHSL,, Opp. Shikhar Building, Navrangpura,, AHMEDABAD, GUJARAT, 380009 IN</v>
    <v>35.65</v>
    <v>Food &amp; Tobacco</v>
    <v>Stock</v>
    <v>44642.471817129626</v>
    <v>425</v>
    <v>34.299999999999997</v>
    <v>3509373000</v>
    <v>GOKUL REFOILS AND SOLVENT LIMITED</v>
    <v>GOKUL REFOILS AND SOLVENT LIMITED</v>
    <v>34.9</v>
    <v>13.47</v>
    <v>35.450000000000003</v>
    <v>34.799999999999997</v>
    <v>98995000</v>
    <v>GOKUL</v>
    <v>GOKUL REFOILS AND SOLVENT LIMITED (XNSE:GOKUL)</v>
    <v>71759</v>
    <v>125900</v>
    <v>1992</v>
  </rv>
  <rv s="2">
    <v>426</v>
  </rv>
  <rv s="0">
    <v>https://www.bing.com/financeapi/forcetrigger?t=axd4c7&amp;q=XNSE%3aHDFCLIFE&amp;form=skydnc</v>
    <v>Learn more on Bing</v>
  </rv>
  <rv s="1">
    <v>en-IN</v>
    <v>axd4c7</v>
    <v>268435456</v>
    <v>1</v>
    <v>Powered by Refinitiv</v>
    <v>0</v>
    <v>HDFC LIFE INSURANCE COMPANY LIMITED (XNSE:HDFCLIFE)</v>
    <v>2</v>
    <v>3</v>
    <v>Finance</v>
    <v>4</v>
    <v>775.65</v>
    <v>497.05</v>
    <v>0.88090000000000002</v>
    <v>6.95</v>
    <v>1.3305000000000001E-2</v>
    <v>INR</v>
    <v>HDFC Life Insurance Company Ltd is a life insurance company. It provides a range of individual and group insurance solutions across India. It offers a range of life insurance plans, such as term insurance plan, health insurance plans, child education plans, unit linked insurance plans (ULIPs), and savings and investment plans. It offers long term savings, protection and retirement or pension products. It operates in three segments: participating (Par) segment products includes endowment, savings cum protection and pension plans; non-participating (Non Par) segment products includes term protection, savings cum protection, immediate and deferred annuity and health plans under Individual business and credit life, term life, fund based pension, group variable plans under Group business; and unit-linked (UL) product includes Unit Linked Life and fund-based Pension plans under Individual and Group businesses. Exide Life Insurance Company Ltd is the subsidiary of the Company.</v>
    <v>20636</v>
    <v>National Stock Exchange of India</v>
    <v>XNSE</v>
    <v>XNSE</v>
    <v>12th Floor, Lodha Excelus, Apollo Mills Compound, N.M. Joshi Road, Mahalaxmi, MUMBAI, MAHARASHTRA, 400011 IN</v>
    <v>530.5</v>
    <v>Insurance</v>
    <v>Stock</v>
    <v>44642.471493055556</v>
    <v>428</v>
    <v>516.5</v>
    <v>1103476000000</v>
    <v>HDFC LIFE INSURANCE COMPANY LIMITED</v>
    <v>HDFC LIFE INSURANCE COMPANY LIMITED</v>
    <v>523.5</v>
    <v>92.76</v>
    <v>522.35</v>
    <v>529.29999999999995</v>
    <v>2112523000</v>
    <v>HDFCLIFE</v>
    <v>HDFC LIFE INSURANCE COMPANY LIMITED (XNSE:HDFCLIFE)</v>
    <v>3457606</v>
    <v>5983780</v>
    <v>2000</v>
  </rv>
  <rv s="2">
    <v>429</v>
  </rv>
  <rv s="0">
    <v>https://www.bing.com/financeapi/forcetrigger?t=ahju3m&amp;q=XNSE%3aSBILIFE&amp;form=skydnc</v>
    <v>Learn more on Bing</v>
  </rv>
  <rv s="1">
    <v>en-IN</v>
    <v>ahju3m</v>
    <v>268435456</v>
    <v>1</v>
    <v>Powered by Refinitiv</v>
    <v>0</v>
    <v>SBI LIFE INSURANCE COMPANY LIMITED (XNSE:SBILIFE)</v>
    <v>2</v>
    <v>3</v>
    <v>Finance</v>
    <v>4</v>
    <v>1293.25</v>
    <v>861</v>
    <v>0.86150000000000004</v>
    <v>1.85</v>
    <v>1.688E-3</v>
    <v>INR</v>
    <v>SBI Life Insurance Company Limited is an India-based company, which offers life insurance. The Company offers a suite of unit-linked products and solutions. The Company offers a range of individual plans, including online plans, savings plans, protection plans, wealth creation plans, retirement plans, child plans, money back/ income plans, and combo plans. Its group plans include Corporate Solutions Plans, Group Loan Protection Plans and Group Micro Insurance Plans. Its corporate solutions include retirement solutions, such as SBI Life- Kalyan ULIP Plus, SBI Life- Pradhan Mantri Jeevan Jyoti Bima Yojana, SBI Life- CapAssure Gold, SBI Life- Sampoorn Suraksha and SBI Life-Swarna Jeevan Plus. Its Group Loan Protection Plans include SBI Life-RiNn Raksha. Its Group Micro Insurance Plans include SBI Life- Grameen Super Suraksha. Its savings plans include SBI Life- Smart Future Choices, SBI Life- New Smart Samriddhi, SBI Life-Smart Bachat and SBI Life - Smart Platina Assure.</v>
    <v>17464</v>
    <v>National Stock Exchange of India</v>
    <v>XNSE</v>
    <v>XNSE</v>
    <v>'NATRAJ', M. V. Road and Western Express Highway Junction, Andheri (East), MUMBAI, MAHARASHTRA, 400069 IN</v>
    <v>1101.8499999999999</v>
    <v>Insurance</v>
    <v>Stock</v>
    <v>44642.471886574072</v>
    <v>431</v>
    <v>1070</v>
    <v>1096197000000</v>
    <v>SBI LIFE INSURANCE COMPANY LIMITED</v>
    <v>SBI LIFE INSURANCE COMPANY LIMITED</v>
    <v>1092.5</v>
    <v>80.16</v>
    <v>1095.8</v>
    <v>1097.6500000000001</v>
    <v>1000363000</v>
    <v>SBILIFE</v>
    <v>SBI LIFE INSURANCE COMPANY LIMITED (XNSE:SBILIFE)</v>
    <v>998586</v>
    <v>1280170</v>
    <v>2000</v>
  </rv>
  <rv s="2">
    <v>432</v>
  </rv>
  <rv s="0">
    <v>https://www.bing.com/financeapi/forcetrigger?t=ahkia2&amp;q=XNSE%3aURJA&amp;form=skydnc</v>
    <v>Learn more on Bing</v>
  </rv>
  <rv s="1">
    <v>en-IN</v>
    <v>ahkia2</v>
    <v>268435456</v>
    <v>1</v>
    <v>Powered by Refinitiv</v>
    <v>0</v>
    <v>URJA GLOBAL LIMITED (XNSE:URJA)</v>
    <v>2</v>
    <v>3</v>
    <v>Finance</v>
    <v>4</v>
    <v>33.4</v>
    <v>5.0999999999999996</v>
    <v>1.8945000000000001</v>
    <v>0.85</v>
    <v>4.7618999999999995E-2</v>
    <v>INR</v>
    <v>Urja Global Limited is a renewable energy developers and operators. It is engaged in design, consultancy, integration, supply, installation, commissioning and maintenance of off-grid and grid connected solar power plants. Its products include E-Rickshaw, Batteries, Solar inverter, LED Lights, PV Module, Water Heater, Solar Lanterns, Power Pack, Home Lighting, and Solar Charge Controller. Its E-Rickshaw includes Erickshaw Urja Dlx, Erickshaw Urja Eco, Urja Kendra Leo, and Urja Kendra Neo. Its Batteries include Solar Batteries, E-Rickshaw Batteries, Automotive Batteries, and Inverter Batteries. Its Solar inverter include Sine Wave Inverter. Its LED Lights include LED Bulb, LED Street Light, LED Flood Light, LED Panel Light (Square), LED Panel Light (Round), and Slim LED Panel Light. Its PV Module includes Solar Panel 75Wp/12V, Solar Panel 100Wp/12V, and Solar Panel 60Wp/12V. Its Water Heater includes Solar Water Heater 300LPD (58mm-1.8mtr) and Solar Water Heater 500LPD (58mm-1.8mtr).</v>
    <v>27</v>
    <v>National Stock Exchange of India</v>
    <v>XNSE</v>
    <v>XNSE</v>
    <v>487/63,1ST Floor, National Market, Peeragarhi, NEW DELHI, DELHI, 110087 IN</v>
    <v>18.7</v>
    <v>Electrical Utilities &amp; IPPs</v>
    <v>Stock</v>
    <v>44642.471863425926</v>
    <v>434</v>
    <v>17</v>
    <v>9741752000</v>
    <v>URJA GLOBAL LIMITED</v>
    <v>URJA GLOBAL LIMITED</v>
    <v>17</v>
    <v>559.55999999999995</v>
    <v>17.850000000000001</v>
    <v>18.7</v>
    <v>569706000</v>
    <v>URJA</v>
    <v>URJA GLOBAL LIMITED (XNSE:URJA)</v>
    <v>2261250</v>
    <v>2609770</v>
    <v>1992</v>
  </rv>
  <rv s="2">
    <v>435</v>
  </rv>
  <rv s="0">
    <v>https://www.bing.com/financeapi/forcetrigger?t=ahizp2&amp;q=XNSE%3aMMTC&amp;form=skydnc</v>
    <v>Learn more on Bing</v>
  </rv>
  <rv s="1">
    <v>en-IN</v>
    <v>ahizp2</v>
    <v>268435456</v>
    <v>1</v>
    <v>Powered by Refinitiv</v>
    <v>0</v>
    <v>MMTC LIMITED (XNSE:MMTC)</v>
    <v>2</v>
    <v>3</v>
    <v>Finance</v>
    <v>4</v>
    <v>64.7</v>
    <v>34</v>
    <v>1.4494</v>
    <v>-0.55000000000000004</v>
    <v>-1.1802999999999999E-2</v>
    <v>INR</v>
    <v>MMTC Limited is an India-based trading company. The Company's segments include Minerals, Precious Metals, Metals, Agro Products, Coal &amp; Hydrocarbon, Fertilizer and General Trade/others. The Company is engaged in trading agricultural products, such as wheat, rice cleared of the husk, corn, soybean food, edible oil and pulses. The Company is engaged in exploration, search, prospecting, development, extraction and exploitation of the mineral blocks/deposits. The Company also trades various fertilizers and chemicals, including di ammonium phosphate (dap), muriate of potash (mop) and complex fertilizers. The Company sells imported non-ferrous metals, minor metals, industrial raw materials and non-ferrous metal alloys. The Company also imports gold, silver, platinum, palladium, rough diamonds, emeralds, rubies and other semi-precious stones and supplies these items to jewelers in India for domestic sale and export. The Company's wholly owned subsidiary is MMTC Transnational Pte Ltd.</v>
    <v>702</v>
    <v>National Stock Exchange of India</v>
    <v>XNSE</v>
    <v>XNSE</v>
    <v>Core -1, SCOPE COMPLEX, 7 Institutional Area, Lodhi Road, NEW DELHI, DELHI, 110003 IN</v>
    <v>47</v>
    <v>Metals &amp; Mining</v>
    <v>Stock</v>
    <v>44642.47184027778</v>
    <v>437</v>
    <v>45.8</v>
    <v>69900000000</v>
    <v>MMTC LIMITED</v>
    <v>MMTC LIMITED</v>
    <v>46.7</v>
    <v>0</v>
    <v>46.6</v>
    <v>46.05</v>
    <v>1500000000</v>
    <v>MMTC</v>
    <v>MMTC LIMITED (XNSE:MMTC)</v>
    <v>1680588</v>
    <v>2938290</v>
    <v>1963</v>
  </rv>
  <rv s="2">
    <v>438</v>
  </rv>
  <rv s="0">
    <v>https://www.bing.com/financeapi/forcetrigger?t=ahiabh&amp;q=XNSE%3aINDHOTEL&amp;form=skydnc</v>
    <v>Learn more on Bing</v>
  </rv>
  <rv s="1">
    <v>en-IN</v>
    <v>ahiabh</v>
    <v>268435456</v>
    <v>1</v>
    <v>Powered by Refinitiv</v>
    <v>0</v>
    <v>THE INDIAN HOTELS COMPANY LIMITED (XNSE:INDHOTEL)</v>
    <v>2</v>
    <v>3</v>
    <v>Finance</v>
    <v>4</v>
    <v>230.2</v>
    <v>90.91</v>
    <v>1.2801</v>
    <v>2.75</v>
    <v>1.3349999999999999E-2</v>
    <v>INR</v>
    <v>The Indian Hotels Company Limited is a holding company. The Company is engaged in short-term accommodation activities, and restaurants and mobile food service activities. The Company is primarily engaged in the business of owning, operating and managing hotels, palaces and resorts under various brands, including Taj, SeleQtions, Vivanta, The Gateway, Ginger, Expressions, ama Stays and Trails and TajSATS. It also operates restaurants, food and beverage business under Golden Dragon, Wasabi by Morimoto, Thai Pavilion, House of Ming and Shamiana brands. The Company undertake its business through direct ownership of hotels, lease arrangements, licensing arrangements and operating/management contracts and franchises. It owns a portfolio of 232 hotels, including 61 under development globally across four continents, 12 countries and in over 100 locations.</v>
    <v>5239</v>
    <v>National Stock Exchange of India</v>
    <v>XNSE</v>
    <v>XNSE</v>
    <v>9Th Floor, Express Towers, Barrister Rajni Patel Marg, Nariman Point, MUMBAI, MAHARASHTRA, 400021 IN</v>
    <v>214</v>
    <v>Hotels &amp; Entertainment Services</v>
    <v>Stock</v>
    <v>44642.471516203703</v>
    <v>440</v>
    <v>205.8</v>
    <v>272206300000</v>
    <v>THE INDIAN HOTELS COMPANY LIMITED</v>
    <v>THE INDIAN HOTELS COMPANY LIMITED</v>
    <v>206</v>
    <v>0</v>
    <v>206</v>
    <v>208.75</v>
    <v>1321390000</v>
    <v>INDHOTEL</v>
    <v>THE INDIAN HOTELS COMPANY LIMITED (XNSE:INDHOTEL)</v>
    <v>9132579</v>
    <v>6008540</v>
    <v>1902</v>
  </rv>
  <rv s="2">
    <v>441</v>
  </rv>
  <rv s="0">
    <v>https://www.bing.com/financeapi/forcetrigger?t=ahinjc&amp;q=XNSE%3aKOTAKBANK&amp;form=skydnc</v>
    <v>Learn more on Bing</v>
  </rv>
  <rv s="1">
    <v>en-IN</v>
    <v>ahinjc</v>
    <v>268435456</v>
    <v>1</v>
    <v>Powered by Refinitiv</v>
    <v>0</v>
    <v>KOTAK MAHINDRA BANK LIMITED (XNSE:KOTAKBANK)</v>
    <v>2</v>
    <v>3</v>
    <v>Finance</v>
    <v>4</v>
    <v>2253</v>
    <v>1626</v>
    <v>0.96760000000000002</v>
    <v>30.75</v>
    <v>1.7302999999999999E-2</v>
    <v>INR</v>
    <v>Kotak Mahindra Bank Limited (the Bank) is an India-based bank. The Bank provides a range of banking services to its customers encompassing retail banking, treasury and corporate banking in India and also has a representative office in Dubai. Its segments include Corporate / Wholesale Banking, Retail Banking, Treasury, BMU and Corporate Centre, and Other Banking business. The Corporate / Wholesale Banking segment includes wholesale borrowings and lending's and other related services to the corporate sector, which are not included under retail banking. The Retail Banking segment includes lending, branch banking and credit cards. The Treasury, BMU and Corporate Centre segment includes money market, forex market, derivatives, investments and primary dealership of government securities and balance sheet management unit (BMU) for asset liability management and corporate center, which primarily consists of support functions. The Other Banking business segment includes other businesses.</v>
    <v>73000</v>
    <v>National Stock Exchange of India</v>
    <v>XNSE</v>
    <v>XNSE</v>
    <v>C-27 G Block, 27 BKC, Bandra Kurla Complex, Bandra(EAST), MUMBAI, MAHARASHTRA, 400051 IN</v>
    <v>1813.6</v>
    <v>Banking Services</v>
    <v>Stock</v>
    <v>44642.47152777778</v>
    <v>443</v>
    <v>1755.35</v>
    <v>3530931000000</v>
    <v>KOTAK MAHINDRA BANK LIMITED</v>
    <v>KOTAK MAHINDRA BANK LIMITED</v>
    <v>1777.1</v>
    <v>32.659999999999997</v>
    <v>1777.1</v>
    <v>1807.85</v>
    <v>2984374000</v>
    <v>KOTAKBANK</v>
    <v>KOTAK MAHINDRA BANK LIMITED (XNSE:KOTAKBANK)</v>
    <v>3397456</v>
    <v>3855670</v>
    <v>1985</v>
  </rv>
  <rv s="2">
    <v>444</v>
  </rv>
  <rv s="0">
    <v>https://www.bing.com/financeapi/forcetrigger?t=ahh7cw&amp;q=XNSE%3aBHEL&amp;form=skydnc</v>
    <v>Learn more on Bing</v>
  </rv>
  <rv s="1">
    <v>en-IN</v>
    <v>ahh7cw</v>
    <v>268435456</v>
    <v>1</v>
    <v>Powered by Refinitiv</v>
    <v>0</v>
    <v>BHARAT HEAVY ELECTRICALS LIMITED (XNSE:BHEL)</v>
    <v>2</v>
    <v>3</v>
    <v>Finance</v>
    <v>4</v>
    <v>80.349999999999994</v>
    <v>43</v>
    <v>1.5356000000000001</v>
    <v>0.3</v>
    <v>5.9170000000000004E-3</v>
    <v>INR</v>
    <v>Bharat Heavy Electricals Limited is an engineering and manufacturing company. It is an integrated power plant equipment manufacturer. Its segments include Power and Industry. The Power segment comprises of thermal, gas, hydro, and nuclear power plant businesses. The Industry segment caters to equipment supplies for various industries, including transportation, transmission, defense and aerospace, renewables, downstream oil and gas, energy storage, and electric mobility, among others, and petrochemicals. It is engaged in design, engineering, manufacture, erection, testing, commissioning, and servicing of a range of products and services for various sectors, such as power, transmission, industry, transportation, renewable energy, water, oil and gas, and deference and aerospace. It manufactures turbines, steam generator sets, including auxiliary plants for use with steam generators. It also manufactures electric motors, transformers and electricity distribution and control apparatus.</v>
    <v>32131</v>
    <v>National Stock Exchange of India</v>
    <v>XNSE</v>
    <v>XNSE</v>
    <v>BHEL House, 4th Floor, Siri Fort Road, Asiad, NEW DELHI, DELHI, 110049 IN</v>
    <v>51.15</v>
    <v>Machinery, Equipment &amp; Components</v>
    <v>Stock</v>
    <v>44642.471493055556</v>
    <v>446</v>
    <v>50.1</v>
    <v>176540600000</v>
    <v>BHARAT HEAVY ELECTRICALS LIMITED</v>
    <v>BHARAT HEAVY ELECTRICALS LIMITED</v>
    <v>50.75</v>
    <v>0</v>
    <v>50.7</v>
    <v>51</v>
    <v>3482063000</v>
    <v>BHEL</v>
    <v>BHARAT HEAVY ELECTRICALS LIMITED (XNSE:BHEL)</v>
    <v>18084732</v>
    <v>21868150</v>
    <v>1964</v>
  </rv>
  <rv s="2">
    <v>447</v>
  </rv>
  <rv s="0">
    <v>https://www.bing.com/financeapi/forcetrigger?t=ahii8m&amp;q=XNSE%3aJPINFRATEC&amp;form=skydnc</v>
    <v>Learn more on Bing</v>
  </rv>
  <rv s="1">
    <v>en-IN</v>
    <v>ahii8m</v>
    <v>268435456</v>
    <v>1</v>
    <v>Powered by Refinitiv</v>
    <v>0</v>
    <v>Jaypee Infratech Limited (XNSE:JPINFRATEC)</v>
    <v>2</v>
    <v>3</v>
    <v>Finance</v>
    <v>4</v>
    <v>4.8499999999999996</v>
    <v>1.4</v>
    <v>1.8686</v>
    <v>0.1</v>
    <v>3.1745999999999996E-2</v>
    <v>INR</v>
    <v>Jaypee Infratech Limited is an India-based company that is engaged in the real estate development business. The Company's business segments include Yamuna Expressway Project and Healthcare. The Company's Yamuna Expressway Project is an integrated project, which inter alia includes construction of approximately 165 kilometers long six-lane access-controlled expressway from Greater Noida to Agra with provision for expansion to eight-lane with service roads and associated structures on build, own, operate and transfer basis. The Company provides operation and maintenance of Yamuna Expressway for over 36 years, collection of tolls and the rights for development of approximately 25 million square meters of land for residential, commercial, institutional, amusement and industrial purposes at over five land parcels along the expressway. Its Healthcare business segment includes hospitals. The Company's wholly owned subsidiary is Jaypee Healthcare Limited (JHCL).</v>
    <v>156</v>
    <v>National Stock Exchange of India</v>
    <v>XNSE</v>
    <v>XNSE</v>
    <v>Sector 128, Distt. Gautam Budh Nagar, NOIDA, UTTAR PRADESH, 201304 IN</v>
    <v>3.3</v>
    <v>Construction &amp; Engineering</v>
    <v>Stock</v>
    <v>44642.471851851849</v>
    <v>449</v>
    <v>3.15</v>
    <v>4375141000</v>
    <v>Jaypee Infratech Limited</v>
    <v>Jaypee Infratech Limited</v>
    <v>3.15</v>
    <v>0</v>
    <v>3.15</v>
    <v>3.25</v>
    <v>1388933000</v>
    <v>JPINFRATEC</v>
    <v>Jaypee Infratech Limited (XNSE:JPINFRATEC)</v>
    <v>4512475</v>
    <v>2775930</v>
    <v>2007</v>
  </rv>
  <rv s="2">
    <v>450</v>
  </rv>
  <rv s="0">
    <v>https://www.bing.com/financeapi/forcetrigger?t=ahkeww&amp;q=XNSE%3aTRF&amp;form=skydnc</v>
    <v>Learn more on Bing</v>
  </rv>
  <rv s="1">
    <v>en-IN</v>
    <v>ahkeww</v>
    <v>268435456</v>
    <v>1</v>
    <v>Powered by Refinitiv</v>
    <v>0</v>
    <v>TRF LIMITED. (XNSE:TRF)</v>
    <v>2</v>
    <v>3</v>
    <v>Finance</v>
    <v>4</v>
    <v>172.4</v>
    <v>80.3</v>
    <v>1.6733</v>
    <v>-8.15</v>
    <v>-4.9985000000000002E-2</v>
    <v>INR</v>
    <v>TRF Limited is an India-based company. The Company offers manufacturing services, technical services, project management and life cycle and allied services. The Company undertakes turnkey projects of material handling for the infrastructure sector, such as power and ports and industrial sector, such as steel plants, cement, fertilizers, and mining. The Company's segments include Products &amp; Services, and Projects &amp; Services. It offers design and engineering services for projects, quality control and assurance services and health assessment services of plants and equipment. It focuses on planning, budgeting &amp; control, erection &amp; commissioning services, and execution of EPC projects in power, steel, port, and mining sectors. It is also engaged in production of such material handling equipment’s at its manufacturing facility at Jamshedpur. The Company uses its manufacturing facility with its commissioning capabilities to install bulk material handling plant and equipment on a supply basis.</v>
    <v>1254</v>
    <v>National Stock Exchange of India</v>
    <v>XNSE</v>
    <v>XNSE</v>
    <v>Burma Mines, JAMSHEDPUR, JHARKHAND, 831007 IN</v>
    <v>168.95</v>
    <v>Machinery, Equipment &amp; Components</v>
    <v>Stock</v>
    <v>44642.47184027778</v>
    <v>452</v>
    <v>154.9</v>
    <v>1794269000</v>
    <v>TRF LIMITED.</v>
    <v>TRF LIMITED.</v>
    <v>168.95</v>
    <v>0</v>
    <v>163.05000000000001</v>
    <v>154.9</v>
    <v>11004410</v>
    <v>TRF</v>
    <v>TRF LIMITED. (XNSE:TRF)</v>
    <v>111826</v>
    <v>31340</v>
    <v>1962</v>
  </rv>
  <rv s="2">
    <v>453</v>
  </rv>
  <rv s="0">
    <v>https://www.bing.com/financeapi/forcetrigger?t=ahhxbh&amp;q=XNSE%3aGODREJPROP&amp;form=skydnc</v>
    <v>Learn more on Bing</v>
  </rv>
  <rv s="1">
    <v>en-IN</v>
    <v>ahhxbh</v>
    <v>268435456</v>
    <v>1</v>
    <v>Powered by Refinitiv</v>
    <v>0</v>
    <v>GODREJ PROPERTIES LIMITED (XNSE:GODREJPROP)</v>
    <v>2</v>
    <v>3</v>
    <v>Finance</v>
    <v>4</v>
    <v>2598</v>
    <v>1200</v>
    <v>1.4169</v>
    <v>-28.85</v>
    <v>-1.7944000000000002E-2</v>
    <v>INR</v>
    <v>Godrej Properties Limited is an India-based company that is engaged primarily in the business of real estate construction, development and other related activities. The Company operates through the development of real estate property segment. It operates through Godrej brand. The Company’s projects include Godrej Avenues, Godrej Reserve, Godrej Icon, Godrej Air - Phase 1, Godrej 101, Godrej United, Godrej Platinum and Godrej Two. The Company has its presence in Mumbai Metropolitan Region (MMR), National Capital Region, Pune, Bangalore, Kolkata, Ahmedabad, Nagpur, Chennai and Chandigarh. Its subsidiaries include Godrej Realty Private Limited, Godrej Garden City Properties Private Limited, Prakritiplaza Facilities Management Private Limited, Godrej Prakriti Facilities Private Limited, Godrej Genesis Facilities Management Private Limited, Godrej Projects Development Limited, Godrej Hillside Properties Private Limited and Godrej Highrises Properties Private Limited.</v>
    <v>1933</v>
    <v>National Stock Exchange of India</v>
    <v>XNSE</v>
    <v>XNSE</v>
    <v>Godrej Bhavan, 4th Floor,, 4A, Home Street, Fort,, MUMBAI, MAHARASHTRA, 400001 IN</v>
    <v>1607</v>
    <v>Real Estate Operations</v>
    <v>Stock</v>
    <v>44642.47184027778</v>
    <v>455</v>
    <v>1545.25</v>
    <v>446949200000</v>
    <v>GODREJ PROPERTIES LIMITED</v>
    <v>GODREJ PROPERTIES LIMITED</v>
    <v>1607</v>
    <v>0</v>
    <v>1607.8</v>
    <v>1578.95</v>
    <v>277988100</v>
    <v>GODREJPROP</v>
    <v>GODREJ PROPERTIES LIMITED (XNSE:GODREJPROP)</v>
    <v>872990</v>
    <v>1095100</v>
    <v>1985</v>
  </rv>
  <rv s="2">
    <v>456</v>
  </rv>
  <rv s="0">
    <v>https://www.bing.com/financeapi/forcetrigger?t=ahi9f2&amp;q=XNSE%3aIFCI&amp;form=skydnc</v>
    <v>Learn more on Bing</v>
  </rv>
  <rv s="1">
    <v>en-IN</v>
    <v>ahi9f2</v>
    <v>268435456</v>
    <v>1</v>
    <v>Powered by Refinitiv</v>
    <v>0</v>
    <v>IFCI LIMITED (XNSE:IFCI)</v>
    <v>2</v>
    <v>3</v>
    <v>Finance</v>
    <v>4</v>
    <v>18.850000000000001</v>
    <v>10.3</v>
    <v>1.2571000000000001</v>
    <v>-0.05</v>
    <v>-4.1149999999999997E-3</v>
    <v>INR</v>
    <v>IFCI Limited is a non-banking financial company. The Company provides financial support for the diversified growth of industries across the spectrum. It is also engaged in providing other credit granting services. The Company's products and services include financial products, investment products and advisory services. Its financial products include project financing, corporate finance and structured finance for the entire industry, services and agro-based sector. It offers project financing to various sector, which includes renewable energy, telecommunications, oil and gas, shipping, basic metals, chemicals, pharmaceuticals, electronics, textiles, real estate, smart cities and urban infrastructure. It provides financial services to small, medium and large companies in the area of corporate finance through off-balance sheet funding, loans against shares, lease rent waiver, promoter funding, long-term working capital requirements, capital expenditure and regular maintenance capex.</v>
    <v>195</v>
    <v>National Stock Exchange of India</v>
    <v>XNSE</v>
    <v>XNSE</v>
    <v>IFCI Tower, 61, Nehru Palace, NEW DELHI, DELHI, 110019 IN</v>
    <v>12.2</v>
    <v>Banking Services</v>
    <v>Stock</v>
    <v>44642.471516203703</v>
    <v>458</v>
    <v>12.05</v>
    <v>25551340000</v>
    <v>IFCI LIMITED</v>
    <v>IFCI LIMITED</v>
    <v>12.2</v>
    <v>0</v>
    <v>12.15</v>
    <v>12.1</v>
    <v>2102991000</v>
    <v>IFCI</v>
    <v>IFCI LIMITED (XNSE:IFCI)</v>
    <v>2092595</v>
    <v>5073670</v>
    <v>1993</v>
  </rv>
  <rv s="2">
    <v>459</v>
  </rv>
  <rv s="0">
    <v>https://www.bing.com/financeapi/forcetrigger?t=ahk2lh&amp;q=XNSE%3aSPARC&amp;form=skydnc</v>
    <v>Learn more on Bing</v>
  </rv>
  <rv s="1">
    <v>en-IN</v>
    <v>ahk2lh</v>
    <v>268435456</v>
    <v>1</v>
    <v>Powered by Refinitiv</v>
    <v>0</v>
    <v>SUN PHARMA ADVANCED RESEARCH COMPANY LIMITED (XNSE:SPARC)</v>
    <v>2</v>
    <v>3</v>
    <v>Finance</v>
    <v>4</v>
    <v>349</v>
    <v>141</v>
    <v>1.3239000000000001</v>
    <v>-2.95</v>
    <v>-1.0072000000000001E-2</v>
    <v>INR</v>
    <v>Sun Pharma Advanced Research Company Limited is an India-based clinical-stage bio pharmaceutical company. The Company is engaged in the business of research and development (R&amp;D) of pharmaceutical products to meet unmet medical needs in the areas of oncology, neurodegeneration and immunology. It develops new chemical entities (NCE), new biological entities (NDDS) and reformulated products. Its NCE includes SCC-138, SCO-088, SCO-120 and SCD-044. Its NDDS includes Wrap Matrix technology, Lipexelle technology and TearAct Technology. Wrap Matrix technology, which is useful to develop controlled-release tablets. The Company has developed Elepsia XR, using Wrap Matrix technology. Lipexelle technology for ophthalmic formulations. It has developed Xelpros, a BAK-free latanoprost eye drops developed using Lipexelle technology. Xelpros is commercialized by the Company’s partner in the United States. It developed PDP-716 eye drops for the treatment of glaucoma based on its TearAct technology.</v>
    <v>410</v>
    <v>National Stock Exchange of India</v>
    <v>XNSE</v>
    <v>XNSE</v>
    <v>17B Mahal Industrial Estate, Mahakali Caves Road, Andheri (East), MUMBAI, MAHARASHTRA, 400093 IN</v>
    <v>299.2</v>
    <v>Biotechnology &amp; Medical Research</v>
    <v>Stock</v>
    <v>44642.471782407411</v>
    <v>461</v>
    <v>284.3</v>
    <v>77164630000</v>
    <v>SUN PHARMA ADVANCED RESEARCH COMPANY LIMITED</v>
    <v>SUN PHARMA ADVANCED RESEARCH COMPANY LIMITED</v>
    <v>291.95</v>
    <v>0</v>
    <v>292.89999999999998</v>
    <v>289.95</v>
    <v>263450400</v>
    <v>SPARC</v>
    <v>SUN PHARMA ADVANCED RESEARCH COMPANY LIMITED (XNSE:SPARC)</v>
    <v>1848748</v>
    <v>1015180</v>
    <v>2006</v>
  </rv>
  <rv s="2">
    <v>462</v>
  </rv>
  <rv s="0">
    <v>https://www.bing.com/financeapi/forcetrigger?t=c4o2nm&amp;q=XNSE%3aDATAPATTNS&amp;form=skydnc</v>
    <v>Learn more on Bing</v>
  </rv>
  <rv s="12">
    <v>en-IN</v>
    <v>c4o2nm</v>
    <v>268435456</v>
    <v>1</v>
    <v>Powered by Refinitiv</v>
    <v>23</v>
    <v>DATA PATTERNS (INDIA) LIMITED (XNSE:DATAPATTNS)</v>
    <v>2</v>
    <v>24</v>
    <v>Finance</v>
    <v>4</v>
    <v>864</v>
    <v>575</v>
    <v>-11.95</v>
    <v>-1.7648999999999998E-2</v>
    <v>INR</v>
    <v>Data Patterns (India) Ltd., formerly Data Patterns (India) Private Limited, is an India-based vertically integrated defense and aerospace electronics solutions provider. The Company manufactures electronic boards and systems. The Company's products include commercial off-the-shelf (COTS) boards, automated test equipment (ATE) and test systems, radio frequency (RF) and microwave, electronic warfare, cockpit and rugged displays, radar and radar subsystems, identify friend and foe, Avionic systems, laser and electro optic system, space systems, power supply, naval systems, communication products, gimbal and actuator controller products, launch and fire control systems, high speed processors, digital IF processors and waveform generators, console, navigation system software and application products. The Company offer services include product development services, functional test equipment, software services, microwave, mechanical product design, manufacturing service and hardware services.</v>
    <v>National Stock Exchange of India</v>
    <v>XNSE</v>
    <v>XNSE</v>
    <v>Block 2, Ground Floor,Plot.No H9, 4th Main Road, SIPCOT IT Park, Off Rajiv Gandhi Salai (OMR), Siruseri, CHENNAI, TAMIL NADU, 603 103 IN</v>
    <v>682.7</v>
    <v>Aerospace &amp; Defense</v>
    <v>Stock</v>
    <v>44642.471655092595</v>
    <v>464</v>
    <v>661.15</v>
    <v>35132210000</v>
    <v>DATA PATTERNS (INDIA) LIMITED</v>
    <v>DATA PATTERNS (INDIA) LIMITED</v>
    <v>682.7</v>
    <v>63.22</v>
    <v>677.1</v>
    <v>665.15</v>
    <v>51886290</v>
    <v>DATAPATTNS</v>
    <v>DATA PATTERNS (INDIA) LIMITED (XNSE:DATAPATTNS)</v>
    <v>130825</v>
    <v>249360</v>
  </rv>
  <rv s="2">
    <v>465</v>
  </rv>
  <rv s="0">
    <v>https://www.bing.com/financeapi/forcetrigger?t=ahh3ww&amp;q=XNSE%3aBALKRISIND&amp;form=skydnc</v>
    <v>Learn more on Bing</v>
  </rv>
  <rv s="1">
    <v>en-IN</v>
    <v>ahh3ww</v>
    <v>268435456</v>
    <v>1</v>
    <v>Powered by Refinitiv</v>
    <v>0</v>
    <v>BALKRISHNA INDUSTRIES LIMITED (XNSE:BALKRISIND)</v>
    <v>2</v>
    <v>3</v>
    <v>Finance</v>
    <v>4</v>
    <v>2707.26</v>
    <v>1542.58</v>
    <v>1.0381</v>
    <v>-4.9000000000000004</v>
    <v>-2.3839999999999998E-3</v>
    <v>INR</v>
    <v>Balkrishna Industries Limited is an India-based company engaged in offering pneumatic tires. The Company offers tires, tubes and tire flaps. It focuses on the manufacture of a range of off-highway tires (OHT). These tires are mainly meant for agricultural, industrial and construction, earthmover and port, mining, forestry, lawn and garden and all-terrain vehicles (ATV). It offers tires for compact loader, compact utility tractor, cotton picker, forwarder, go-kart, golf kart, harvester, hay harvester/baler, mower, orchard harvester, pivot irrigator, rotor rake, rototiller, sprayer, spreader, tanker, tractor, trailer, trencher, universal vehicle and vineyard harvester. The Company offers tires for backhoe loader, compact dumper, compactor, container handler, excavator, mobile home and skid steer. It also offers tires for dozer, haul train, load haul dump (LHD) and underground mining vehicles.</v>
    <v>2861</v>
    <v>National Stock Exchange of India</v>
    <v>XNSE</v>
    <v>XNSE</v>
    <v>BKT House, C Wing, 15th Floor,, Trade World, Kamala Mills Compound,, Senapati Bapat Marg,, MUMBAI, MAHARASHTRA, 400011 IN</v>
    <v>2067.9</v>
    <v>Automobiles &amp; Auto Parts</v>
    <v>Stock</v>
    <v>44642.471493055556</v>
    <v>467</v>
    <v>1996.2</v>
    <v>397334500000</v>
    <v>BALKRISHNA INDUSTRIES LIMITED</v>
    <v>BALKRISHNA INDUSTRIES LIMITED</v>
    <v>2042.5</v>
    <v>27.58</v>
    <v>2055.35</v>
    <v>2050.4499999999998</v>
    <v>193317200</v>
    <v>BALKRISIND</v>
    <v>BALKRISHNA INDUSTRIES LIMITED (XNSE:BALKRISIND)</v>
    <v>458904</v>
    <v>343170</v>
    <v>1961</v>
  </rv>
  <rv s="2">
    <v>468</v>
  </rv>
  <rv s="0">
    <v>https://www.bing.com/financeapi/forcetrigger?t=bvtgbh&amp;q=XNSE%3aHAPPSTMNDS&amp;form=skydnc</v>
    <v>Learn more on Bing</v>
  </rv>
  <rv s="3">
    <v>en-IN</v>
    <v>bvtgbh</v>
    <v>268435456</v>
    <v>1</v>
    <v>Powered by Refinitiv</v>
    <v>5</v>
    <v>HAPPIEST MINDS TECHNOLOGIES LIMITED (XNSE:HAPPSTMNDS)</v>
    <v>2</v>
    <v>6</v>
    <v>Finance</v>
    <v>4</v>
    <v>1580</v>
    <v>513.35</v>
    <v>-11.15</v>
    <v>-9.7149999999999997E-3</v>
    <v>INR</v>
    <v>Happiest Minds Technologies Limited is an India-based digital transformation information technology (IT) consulting and services company. The Company's segments include Infrastructure Management &amp; Security Services (IMSS), Digital Business Solutions (DBS) and Product Engineering Services (PES). IMSS provides continuous support and managed security services for mid-sized enterprises and technology companies. It also offers solutions across the spectrum of various digital technologies such as robotic process automation (RPA), software-defined networking/network function virtualization (SDN/NFV), big data and advanced analytics, Internet of things (IoT), cloud, business process management (BPM) and security. DBS focuses on digital modernization and transformation for its customers through digital application development and application modernization. PES offers digital foundry, platform engineering and device engineering.</v>
    <v>2818</v>
    <v>National Stock Exchange of India</v>
    <v>XNSE</v>
    <v>XNSE</v>
    <v>#53/1-4, Hosur Main Road, Madivala, Next to Madivala police station, BANGALORE, KARNATAKA, 560068 IN</v>
    <v>1152.95</v>
    <v>Software &amp; IT Services</v>
    <v>Stock</v>
    <v>44642.471493055556</v>
    <v>470</v>
    <v>1118.25</v>
    <v>163466700000</v>
    <v>HAPPIEST MINDS TECHNOLOGIES LIMITED</v>
    <v>HAPPIEST MINDS TECHNOLOGIES LIMITED</v>
    <v>1148</v>
    <v>98.78</v>
    <v>1147.75</v>
    <v>1136.5999999999999</v>
    <v>142423600</v>
    <v>HAPPSTMNDS</v>
    <v>HAPPIEST MINDS TECHNOLOGIES LIMITED (XNSE:HAPPSTMNDS)</v>
    <v>307241</v>
    <v>523440</v>
    <v>2011</v>
  </rv>
  <rv s="2">
    <v>471</v>
  </rv>
  <rv s="0">
    <v>https://www.bing.com/financeapi/forcetrigger?t=ahkh52&amp;q=XNSE%3aULTRACEMCO&amp;form=skydnc</v>
    <v>Learn more on Bing</v>
  </rv>
  <rv s="1">
    <v>en-IN</v>
    <v>ahkh52</v>
    <v>268435456</v>
    <v>1</v>
    <v>Powered by Refinitiv</v>
    <v>0</v>
    <v>ULTRATECH CEMENT LIMITED (XNSE:ULTRACEMCO)</v>
    <v>2</v>
    <v>3</v>
    <v>Finance</v>
    <v>4</v>
    <v>8269</v>
    <v>5629.2</v>
    <v>0.87529999999999997</v>
    <v>20.350000000000001</v>
    <v>3.287E-3</v>
    <v>INR</v>
    <v>UltraTech Cement Limited is an India-based company engaged in the business of cement and cement related products. The Company manufactures a range of products that cater to construction needs from foundation to finish, including Ordinary Portland Cement (OPC), Portland Blast Furnace Slag Cement (PSC), Portland Pozzolana Cement (PPC), white cement and white cement-based products, ready mix concrete, including specialty concrete, building products, such as aerated autoclaved concrete (AAC) blocks and joining mortars and a host of others in retail formats. The Company’s products include UltraTech Cement, UltraTech Concrete, UltraTech Building Products, Birla White Cement and White Topping Concrete. Its UltraTech Building products range includes tiles adhesives, repair products (MICROKRETE and BASEKRETE), waterproofing products, industrial and precision grout, plasters (READIPLAST, SUPER STUCCO), masonry products (FIXOBLOCK), light weight autoclaved aerated concrete block.</v>
    <v>21909</v>
    <v>National Stock Exchange of India</v>
    <v>XNSE</v>
    <v>XNSE</v>
    <v>B Wing, 2nd floor, Ahura Centre, Mahakali Caves Road, Andheri (East), MUMBAI, MAHARASHTRA, 400093 IN</v>
    <v>6225.85</v>
    <v>Construction Materials</v>
    <v>Stock</v>
    <v>44642.471724537034</v>
    <v>473</v>
    <v>6059.1</v>
    <v>1786039000000</v>
    <v>ULTRATECH CEMENT LIMITED</v>
    <v>ULTRATECH CEMENT LIMITED</v>
    <v>6160</v>
    <v>26.38</v>
    <v>6191.25</v>
    <v>6211.6</v>
    <v>288477900</v>
    <v>ULTRACEMCO</v>
    <v>ULTRATECH CEMENT LIMITED (XNSE:ULTRACEMCO)</v>
    <v>1073804</v>
    <v>823680</v>
    <v>2000</v>
  </rv>
  <rv s="2">
    <v>474</v>
  </rv>
  <rv s="0">
    <v>https://www.bing.com/financeapi/forcetrigger?t=c4eqp2&amp;q=XNSE%3aSTARHEALTH&amp;form=skydnc</v>
    <v>Learn more on Bing</v>
  </rv>
  <rv s="3">
    <v>en-IN</v>
    <v>c4eqp2</v>
    <v>268435456</v>
    <v>1</v>
    <v>Powered by Refinitiv</v>
    <v>5</v>
    <v>STAR HEALTH AND ALLIED INSURANCE COMPANY LIMITED (XNSE:STARHEALTH)</v>
    <v>2</v>
    <v>6</v>
    <v>Finance</v>
    <v>4</v>
    <v>940</v>
    <v>583.6</v>
    <v>-0.8</v>
    <v>-1.2199999999999999E-3</v>
    <v>INR</v>
    <v>Star Health and Allied Insurance Company Ltd is an India-based company, which provides insurance services. The Company provides various health insurance plans for individuals, senior citizens, and families in India. It also offers student insurance care policies for school and college students that grant compensation in the event of death, disability, or hospitalization expenses; travel protection insurance policies for individuals, families, students, and corporations; and an accident care insurance policy that provides compensation in the event of death. The Company also offers diabetes safe insurance plan, star cardiac care insurance plan, star are micro insurance plan, star hospital cash insurance policy, star outpatient care insurance policy, Star Novel Coronavirus (nCoV) (COVID-19) Insurance Policy (Pilot Product), Arogya Sanjeevani Policy, Star Health and Allied Insurance Co Ltd. and other policies in its platform.</v>
    <v>14273</v>
    <v>National Stock Exchange of India</v>
    <v>XNSE</v>
    <v>XNSE</v>
    <v>No.1, New Tank Street, Valluvarkottam High Road, Nungambakkam, CHENNAI, TAMIL NADU, 600034 IN</v>
    <v>664</v>
    <v>Insurance</v>
    <v>Stock</v>
    <v>44642.471643518518</v>
    <v>476</v>
    <v>643</v>
    <v>377427400000</v>
    <v>STAR HEALTH AND ALLIED INSURANCE COMPANY LIMITED</v>
    <v>STAR HEALTH AND ALLIED INSURANCE COMPANY LIMITED</v>
    <v>664</v>
    <v>0</v>
    <v>655.8</v>
    <v>655</v>
    <v>575522200</v>
    <v>STARHEALTH</v>
    <v>STAR HEALTH AND ALLIED INSURANCE COMPANY LIMITED (XNSE:STARHEALTH)</v>
    <v>237440</v>
    <v>300810</v>
    <v>2005</v>
  </rv>
  <rv s="2">
    <v>477</v>
  </rv>
  <rv s="0">
    <v>https://www.bing.com/financeapi/forcetrigger?t=bpucm7&amp;q=XNSE%3aKPITTECH&amp;form=skydnc</v>
    <v>Learn more on Bing</v>
  </rv>
  <rv s="3">
    <v>en-IN</v>
    <v>bpucm7</v>
    <v>268435456</v>
    <v>1</v>
    <v>Powered by Refinitiv</v>
    <v>5</v>
    <v>KPIT TECHNOLOGIES LIMITED (XNSE:KPITTECH)</v>
    <v>2</v>
    <v>6</v>
    <v>Finance</v>
    <v>4</v>
    <v>801</v>
    <v>153.85</v>
    <v>9.1999999999999993</v>
    <v>1.5545999999999999E-2</v>
    <v>INR</v>
    <v>KPIT Technologies Limited is an India-based technology company, which is focused on automobile engineering and mobility solutions. It also analyzes data for diagnostics, maintenance and tracking of assets and related connectivity solutions, including data and analytics beyond embedded or mechanical engineering and their connectivity and integration with back-end information technology (IT) systems and platforms for the automobile and mobility sector. The Company provides software, artificial intelligence (AI), and digital solutions and operates in Europe, the United States, Japan, China, Thailand, and India. The Company’s solutions include autonomous driving and advanced driver assistance systems (ADAS), electric and conventional powertrain, connected vehicles, vehicle diagnostics, automotive open system architecture (AUTOSAR) and vehicle engineering and design.</v>
    <v>5034</v>
    <v>National Stock Exchange of India</v>
    <v>XNSE</v>
    <v>XNSE</v>
    <v>SEZ Unit, Plot-17, Rajiv Gandhi Infotech Park, MIDC-SEZ, Phase-III, Hinjawadi, PUNE, MAHARASHTRA, 411057 IN</v>
    <v>608.70000000000005</v>
    <v>Software &amp; IT Services</v>
    <v>Stock</v>
    <v>44642.471701388888</v>
    <v>479</v>
    <v>583</v>
    <v>159705500000</v>
    <v>KPIT TECHNOLOGIES LIMITED</v>
    <v>KPIT TECHNOLOGIES LIMITED</v>
    <v>594.95000000000005</v>
    <v>64.25</v>
    <v>591.79999999999995</v>
    <v>601</v>
    <v>269863900</v>
    <v>KPITTECH</v>
    <v>KPIT TECHNOLOGIES LIMITED (XNSE:KPITTECH)</v>
    <v>2576748</v>
    <v>1254780</v>
    <v>2018</v>
  </rv>
  <rv s="2">
    <v>480</v>
  </rv>
  <rv s="0">
    <v>https://www.bing.com/financeapi/forcetrigger?t=ahipnm&amp;q=XNSE%3aLALPATHLAB&amp;form=skydnc</v>
    <v>Learn more on Bing</v>
  </rv>
  <rv s="1">
    <v>en-IN</v>
    <v>ahipnm</v>
    <v>268435456</v>
    <v>1</v>
    <v>Powered by Refinitiv</v>
    <v>0</v>
    <v>DR. LAL PATHLABS Limited (XNSE:LALPATHLAB)</v>
    <v>2</v>
    <v>3</v>
    <v>Finance</v>
    <v>4</v>
    <v>4245.5</v>
    <v>2263.4</v>
    <v>0.59740000000000004</v>
    <v>-11</v>
    <v>-4.13E-3</v>
    <v>INR</v>
    <v>Dr. Lal PathLabs Limited is engaged in providing diagnostic and related healthcare tests and services. The Company is also engaged in running laboratories for carrying out pathological investigations of various branches of biochemistry, hematology, histopathology, microbiology, electrophoresis, immuno-chemistry, and other pathological and radiological investigations. The Company offers a range of tests by condition, which includes allergy, diabetes, health checkups, viral infections, fever, heart diseases, hypertension, cancer, abortions, anemia, arthritis, breast cancer, diphtheria, disorder of the liver, disorders of bone, drugs of abuse, infertility, lymphoma, tuberculosis, ovarian cancer, osteoporosis, multiple sclerosis, muscular disorder and viral infections. The Company’s subsidiaries include Paliwal Diagnostics Private Limited, Paliwal Medicare Private Limited, Dr. Lal PathLabs Nepal Private Limited, Dr. Lal PathLabs Bangladesh Pvt. Ltd. and Dr. Lal Ventures Private Limited.</v>
    <v>3996</v>
    <v>National Stock Exchange of India</v>
    <v>XNSE</v>
    <v>XNSE</v>
    <v>12th Floor, Tower B, SAS Tower, Sector 38,, Medicity,, GURGAON, HARYANA, 122001 IN</v>
    <v>2669.95</v>
    <v>Healthcare Providers &amp; Services</v>
    <v>Stock</v>
    <v>44642.471724537034</v>
    <v>482</v>
    <v>2595.1</v>
    <v>220218500000</v>
    <v>DR. LAL PATHLABS Limited</v>
    <v>DR. LAL PATHLABS Limited</v>
    <v>2659.45</v>
    <v>60.01</v>
    <v>2663.6</v>
    <v>2652.6</v>
    <v>82677020</v>
    <v>LALPATHLAB</v>
    <v>DR. LAL PATHLABS Limited (XNSE:LALPATHLAB)</v>
    <v>237594</v>
    <v>303510</v>
    <v>1995</v>
  </rv>
  <rv s="2">
    <v>483</v>
  </rv>
  <rv s="0">
    <v>https://www.bing.com/financeapi/forcetrigger?t=azkbm7&amp;q=XNSE%3aISEC&amp;form=skydnc</v>
    <v>Learn more on Bing</v>
  </rv>
  <rv s="1">
    <v>en-IN</v>
    <v>azkbm7</v>
    <v>268435456</v>
    <v>1</v>
    <v>Powered by Refinitiv</v>
    <v>0</v>
    <v>ICICI SECURITIES LIMITED (XNSE:ISEC)</v>
    <v>2</v>
    <v>3</v>
    <v>Finance</v>
    <v>4</v>
    <v>896.05</v>
    <v>376.9</v>
    <v>1.4599</v>
    <v>24.35</v>
    <v>3.7728999999999999E-2</v>
    <v>INR</v>
    <v>ICICI Securities Limited is an integrated technology-based securities company. The Company offers a range of services, including retail and institutional broking, financial products distribution, private wealth management, and issuer and advisory services. The Company’s segments include Treasury, Broking &amp; distribution and Issuer services &amp; advisory. Its Treasury segment includes income from treasury and investment. Its Broking &amp; distribution segment includes broking and other related activities; distribution of third party products, such as mutual fund, life insurance and others, and sales credit for referred business and interest earned on its funds used in brokerage business. Its Issuer services &amp; advisory segment includes financial advisory services, such as equity-debt issue management services, merger and acquisition advice and other related activities. The Company's subsidiaries include ICICI Securities, Inc. and ICICI Securities Holdings, Inc.</v>
    <v>3766</v>
    <v>National Stock Exchange of India</v>
    <v>XNSE</v>
    <v>XNSE</v>
    <v>ICICI Venture House, Appasaheb Marathe Marg, Prabhadevi, MUMBAI, MAHARASHTRA, 400025 IN</v>
    <v>673.9</v>
    <v>Investment Banking &amp; Investment Services</v>
    <v>Stock</v>
    <v>44642.471539351849</v>
    <v>485</v>
    <v>632</v>
    <v>208255400000</v>
    <v>ICICI SECURITIES LIMITED</v>
    <v>ICICI SECURITIES LIMITED</v>
    <v>647</v>
    <v>15.17</v>
    <v>645.4</v>
    <v>669.75</v>
    <v>322676500</v>
    <v>ISEC</v>
    <v>ICICI SECURITIES LIMITED (XNSE:ISEC)</v>
    <v>442019</v>
    <v>585080</v>
    <v>1995</v>
  </rv>
  <rv s="2">
    <v>486</v>
  </rv>
  <rv s="0">
    <v>https://www.bing.com/financeapi/forcetrigger?t=ahhdvh&amp;q=XNSE%3aCHOLAFIN&amp;form=skydnc</v>
    <v>Learn more on Bing</v>
  </rv>
  <rv s="1">
    <v>en-IN</v>
    <v>ahhdvh</v>
    <v>268435456</v>
    <v>1</v>
    <v>Powered by Refinitiv</v>
    <v>0</v>
    <v>CHOLAMANDALAM INVESTMENT AND FINANCE COMPANY LIMITED (XNSE:CHOLAFIN)</v>
    <v>2</v>
    <v>3</v>
    <v>Finance</v>
    <v>4</v>
    <v>723.95</v>
    <v>469.25</v>
    <v>1.5381</v>
    <v>14.1</v>
    <v>2.0205000000000001E-2</v>
    <v>INR</v>
    <v>Cholamandalam Investment and Finance Company Limited is an India-based equipment financing company. The Company offers financial services, including vehicle finance, home loans, home equity loans, small and medium enterprises (SME) loans, investment advisory services, stock broking and a range of other financial services to its customers. The Company’s segments include Vehicle Finance Loans, Loan against property and Home Loans. The Vehicle Finance Loans segment provides loans to customers against purchase of new/used vehicles, tractors, construction equipments and loan to automobile dealers. The Loan against property segment provides loans to customer against immovable property. The Home Loans segment provides loans for given acquisition of residential property. It offers loans against shares, and other unsecured loans and security broking and insurance agency business. Its subsidiaries include Cholamandalam Securities Limited (CSEC) and Cholamandalam Home Finance Limited (CHFL).</v>
    <v>7620</v>
    <v>National Stock Exchange of India</v>
    <v>XNSE</v>
    <v>XNSE</v>
    <v>Dare House, 2, NSC Bose Road, Parrys, CHENNAI, TAMIL NADU, 600001 IN</v>
    <v>720</v>
    <v>Banking Services</v>
    <v>Stock</v>
    <v>44642.471504629626</v>
    <v>488</v>
    <v>685.15</v>
    <v>572929200000</v>
    <v>CHOLAMANDALAM INVESTMENT AND FINANCE COMPANY LIMITED</v>
    <v>CHOLAMANDALAM INVESTMENT AND FINANCE COMPANY LIMITED</v>
    <v>697</v>
    <v>33.43</v>
    <v>697.85</v>
    <v>711.95</v>
    <v>820991900</v>
    <v>CHOLAFIN</v>
    <v>CHOLAMANDALAM INVESTMENT AND FINANCE COMPANY LIMITED (XNSE:CHOLAFIN)</v>
    <v>1744155</v>
    <v>2600390</v>
    <v>1978</v>
  </rv>
  <rv s="2">
    <v>489</v>
  </rv>
  <rv s="0">
    <v>https://www.bing.com/financeapi/forcetrigger?t=ahiv52&amp;q=XNSE%3aMANAPPURAM&amp;form=skydnc</v>
    <v>Learn more on Bing</v>
  </rv>
  <rv s="1">
    <v>en-IN</v>
    <v>ahiv52</v>
    <v>268435456</v>
    <v>1</v>
    <v>Powered by Refinitiv</v>
    <v>0</v>
    <v>MANAPPURAM FINANCE LIMITED (XNSE:MANAPPURAM)</v>
    <v>2</v>
    <v>3</v>
    <v>Finance</v>
    <v>4</v>
    <v>224.5</v>
    <v>109</v>
    <v>1.5044999999999999</v>
    <v>0.25</v>
    <v>2.1479999999999997E-3</v>
    <v>INR</v>
    <v>Manappuram Finance Limited is an India-based non-banking financial company (NBFC). The Company serves the credit requirements of people belonging to the lower socio-economic classes, particularly in rural and semi-urban areas of India. The Company offers a range of retail credit products and financial services. The Company has a diversified portfolio across retail, microfinance, small and medium enterprises (SMEs), and commercial customers. The Company offers gold loans against the security of gold jewelry. The Company’s short-term gold loan product is used primarily by customers who require immediate funds and may not have access to other forms of formal credit readily available. It offers online gold loan, gold loan, SME finance, forex and money transfer, vehicle loan, doorstep gold loan, personal loan, micro home finance, hospitality industrial loan, teachers loan division, healthcare industry loan, other loans, other services, and two-wheeler finance.</v>
    <v>24934</v>
    <v>National Stock Exchange of India</v>
    <v>XNSE</v>
    <v>XNSE</v>
    <v>IV / 470 (old) W638A (New), Manappuram House,, Valapad, TRICHUR, KERALA, 680567 IN</v>
    <v>117.6</v>
    <v>Banking Services</v>
    <v>Stock</v>
    <v>44642.471851851849</v>
    <v>491</v>
    <v>114.2</v>
    <v>98520340000</v>
    <v>MANAPPURAM FINANCE LIMITED</v>
    <v>MANAPPURAM FINANCE LIMITED</v>
    <v>116.55</v>
    <v>6.42</v>
    <v>116.4</v>
    <v>116.65</v>
    <v>846394700</v>
    <v>MANAPPURAM</v>
    <v>MANAPPURAM FINANCE LIMITED (XNSE:MANAPPURAM)</v>
    <v>6702761</v>
    <v>7501380</v>
    <v>1992</v>
  </rv>
  <rv s="2">
    <v>492</v>
  </rv>
  <rv s="0">
    <v>https://www.bing.com/financeapi/forcetrigger?t=ahe2k2&amp;q=XBOM%3a532830&amp;form=skydnc</v>
    <v>Learn more on Bing</v>
  </rv>
  <rv s="1">
    <v>en-IN</v>
    <v>ahe2k2</v>
    <v>268435456</v>
    <v>1</v>
    <v>Powered by Refinitiv</v>
    <v>0</v>
    <v>ASTRAL LIMITED (XBOM:532830)</v>
    <v>2</v>
    <v>3</v>
    <v>Finance</v>
    <v>22</v>
    <v>2525</v>
    <v>1411.7</v>
    <v>0.7964</v>
    <v>12.75</v>
    <v>6.3299999999999997E-3</v>
    <v>INR</v>
    <v>Astral Limited is an India-based pipe company. The Company is engaged in manufacturing plumbing and drainage systems. The Company and its subsidiaries are engaged in the business of manufacturing and trading of pipes, fittings and adhesive solutions. Its product range includes plumbing pipe &amp; fittings, insulation tube, industrial pipes &amp; fittings, sewerage drainage pipes &amp; fittings, fire sprinklers pipes &amp; fittings, ancillary products, agriculture pipes &amp; fittings, cable protection, urban infrastructure and surface drainage system. The Company offers various products under its product range, including Astral chlorinated polyvinyl chloride (CPVC) PRO, Astral Pex-a PRO, Astral Aquarius unplasticized polyvinyl chloride (uPVC), Astral INSUPro, Astral Chem PRO, Astral Aquarius Plus, Astral Fire Pro, Astral clamps and hangers, Astral Borewell, Astral Casewell, Geo Rex, Astral Aqua Rex, Astral WireGuard, Astral MultiRex and Telerex.</v>
    <v>1853</v>
    <v>Bombay Stock Exchange</v>
    <v>XBOM</v>
    <v>XBOM</v>
    <v>ASTRAL HOUSE 207/1, Bh. Rajpath Club, Off. S.G. Highway, AHMEDABAD, GUJARAT, 380059 IN</v>
    <v>2031.3</v>
    <v>Homebuilding &amp; Construction Supplies</v>
    <v>Stock</v>
    <v>44642.438414351855</v>
    <v>494</v>
    <v>1978.55</v>
    <v>405748300000</v>
    <v>ASTRAL LIMITED</v>
    <v>ASTRAL LIMITED</v>
    <v>2023.95</v>
    <v>78</v>
    <v>2014.25</v>
    <v>2027</v>
    <v>200920200</v>
    <v>532830</v>
    <v>ASTRAL LIMITED (XBOM:532830)</v>
    <v>5703</v>
    <v>386670</v>
    <v>1996</v>
  </rv>
  <rv s="2">
    <v>495</v>
  </rv>
  <rv s="0">
    <v>https://www.bing.com/financeapi/forcetrigger?t=ahh3oc&amp;q=XNSE%3aBALAMINES&amp;form=skydnc</v>
    <v>Learn more on Bing</v>
  </rv>
  <rv s="1">
    <v>en-IN</v>
    <v>ahh3oc</v>
    <v>268435456</v>
    <v>1</v>
    <v>Powered by Refinitiv</v>
    <v>0</v>
    <v>BALAJI AMINES LIMITED (XNSE:BALAMINES)</v>
    <v>2</v>
    <v>3</v>
    <v>Finance</v>
    <v>4</v>
    <v>5223.55</v>
    <v>1652.1</v>
    <v>2.1492</v>
    <v>-26.9</v>
    <v>-8.6540000000000002E-3</v>
    <v>INR</v>
    <v>Balaji Amines Limited is an India-based company, which is engaged in the manufacturing of Aliphatic Amines, their derivatives, specialty chemicals and pharma excipients. The Company is running a five-star hotel in Solapur, Maharashtra, namely Balaji Sarovar Premiere. The Company operates through three segments: Specialty Chemicals and Amines, Hotel and CFL Lamps. Its amines products include MONOMETHYLAMINE (MMA), DIMETHYLAMINE (DMA) and TRIMETHYLAMINE (TMA). Its specialty chemicals include N-Methyl Pyrrolidone (NMP), Morpholine, 2-PYRROLIDONE (2-P), N-ETHYL-2-PYRROLIDONE, GAMMA-BUTYROLACTONE, ACETONITRILE (ACN) and DIMETHYLFORMAMIDE (DMF). Its derivatives include Di-Methyl Acetamide (DMAC), Di-Ethyl Amine Hydrochloride (DMA HCL), Tri-Ethyl Amine Hydrochloride (TEA HCL), Di-Ethyl Amine Hydrochloride (DEA HCL) and Tri-Methyl Amine Hydrochloride (TMA HCL). Its pharma excipients include POLY VINYL PYRROLIDONE(PVP-30) IP/BP/JP GRADE and POLY VINYL PYRROLIDONE(PVP-30)-TECHNICAL GRADE.</v>
    <v>818</v>
    <v>National Stock Exchange of India</v>
    <v>XNSE</v>
    <v>XNSE</v>
    <v>3rd Floor, KPR House, C.P.Road, SECUNDERABAD, TELANGANA, 500003 IN</v>
    <v>3110</v>
    <v>Chemicals</v>
    <v>Stock</v>
    <v>44642.471770833334</v>
    <v>497</v>
    <v>3035</v>
    <v>100720100000</v>
    <v>BALAJI AMINES LIMITED</v>
    <v>BALAJI AMINES LIMITED</v>
    <v>3103.9</v>
    <v>29.27</v>
    <v>3108.55</v>
    <v>3081.65</v>
    <v>32401000</v>
    <v>BALAMINES</v>
    <v>BALAJI AMINES LIMITED (XNSE:BALAMINES)</v>
    <v>55130</v>
    <v>96690</v>
    <v>1988</v>
  </rv>
  <rv s="2">
    <v>498</v>
  </rv>
  <rv s="0">
    <v>https://www.bing.com/financeapi/forcetrigger?t=ahiiyc&amp;q=XNSE%3aJUBLFOOD&amp;form=skydnc</v>
    <v>Learn more on Bing</v>
  </rv>
  <rv s="1">
    <v>en-IN</v>
    <v>ahiiyc</v>
    <v>268435456</v>
    <v>1</v>
    <v>Powered by Refinitiv</v>
    <v>0</v>
    <v>Jubilant FoodWorks Limited (XNSE:JUBLFOOD)</v>
    <v>2</v>
    <v>3</v>
    <v>Finance</v>
    <v>4</v>
    <v>4590</v>
    <v>2443.3000000000002</v>
    <v>0.98629999999999995</v>
    <v>68.7</v>
    <v>2.6912999999999999E-2</v>
    <v>INR</v>
    <v>Jubilant FoodWorks Limited is an India-based food service company. The Company operates through its food and beverages segment. The Company is engaged in retail sales of food through international and home-grown brands addressing different food market segments. Its international brands include Domino’s Pizza, Dunkin’ Donuts and Popeyes. The Company has rights to open and operate Domino’s Pizza Restaurants in India, Sri Lanka, Bangladesh and Nepal. The Company directly operates Domino’s Pizza in India and through its subsidiaries in Sri Lanka and Bangladesh. Its home grown brands include Hong’s Kitchen, ChefBoss and Ekdum. Its Hong’s Kitchen is engaged in Chinese cuisine segment. Ekdum offers a range of biryanis curated from various parts of India using authentic ingredients along with a range of kebabs, curries, breads, desserts and beverages. The Company operates approximately 1,500 outlets for Domino's Pizza, Dunkin' Donuts and Hong's Kitchen.</v>
    <v>36001</v>
    <v>National Stock Exchange of India</v>
    <v>XNSE</v>
    <v>XNSE</v>
    <v>5th Floor, Tower D, Logix Techno Park, Plot No 5, NOIDA, UTTAR PRADESH, 201304 IN</v>
    <v>2640</v>
    <v>Hotels &amp; Entertainment Services</v>
    <v>Stock</v>
    <v>44642.47184027778</v>
    <v>500</v>
    <v>2482</v>
    <v>336870800000</v>
    <v>Jubilant FoodWorks Limited</v>
    <v>Jubilant FoodWorks Limited</v>
    <v>2549</v>
    <v>78.64</v>
    <v>2552.65</v>
    <v>2621.35</v>
    <v>131969000</v>
    <v>JUBLFOOD</v>
    <v>Jubilant FoodWorks Limited (XNSE:JUBLFOOD)</v>
    <v>1601024</v>
    <v>2221330</v>
    <v>1995</v>
  </rv>
  <rv s="2">
    <v>501</v>
  </rv>
  <rv s="0">
    <v>https://www.bing.com/financeapi/forcetrigger?t=ahhm52&amp;q=XNSE%3aDWARKESH&amp;form=skydnc</v>
    <v>Learn more on Bing</v>
  </rv>
  <rv s="1">
    <v>en-IN</v>
    <v>ahhm52</v>
    <v>268435456</v>
    <v>1</v>
    <v>Powered by Refinitiv</v>
    <v>0</v>
    <v>DWARIKESH SUGAR INDUSTRIES LIMITED (XNSE:DWARKESH)</v>
    <v>2</v>
    <v>3</v>
    <v>Finance</v>
    <v>4</v>
    <v>138.4</v>
    <v>30.05</v>
    <v>1.1131</v>
    <v>0.3</v>
    <v>2.3140000000000001E-3</v>
    <v>INR</v>
    <v>Dwarikesh Sugar Industries Limited is an India-based integrated conglomerate company that is primarily engaged in the manufacture of sugar and allied products. The Company’s segments include Sugar, Co-generation and Distillery. The Company also manufactures hand sanitizer. The Company's sugar manufacturing units have a combined production capacity of approximately 21,500 tons of sugarcane per day. It possessed an installed capacity to manufacture over 130 kiloliters of industrial alcohol per day and also co-generated over 91 megawatts (MW) of renewable power. Its distillery capacity is approximately 162.5 kiloliters per day (KLPD). The Company has its presence in diversified fields, such as sugar manufacturing, power and ethanol/industrial alcohol production. It has over three sugar manufacturing units: Dwarikesh Nagar and Dwarikesh Puram, which are located in Bijnor District of Uttar Pradesh (U.P), and a Dwarikesh Dham, which is located in Bareilly District (U.P).</v>
    <v>711</v>
    <v>National Stock Exchange of India</v>
    <v>XNSE</v>
    <v>XNSE</v>
    <v>511, Maker Chambers V,, 221, Nariman Point,, MUMBAI, MAHARASHTRA, 400021 IN</v>
    <v>134.25</v>
    <v>Food &amp; Tobacco</v>
    <v>Stock</v>
    <v>44642.471724537034</v>
    <v>503</v>
    <v>127</v>
    <v>24413290000</v>
    <v>DWARIKESH SUGAR INDUSTRIES LIMITED</v>
    <v>DWARIKESH SUGAR INDUSTRIES LIMITED</v>
    <v>130.44999999999999</v>
    <v>16.989999999999998</v>
    <v>129.65</v>
    <v>129.94999999999999</v>
    <v>188301500</v>
    <v>DWARKESH</v>
    <v>DWARIKESH SUGAR INDUSTRIES LIMITED (XNSE:DWARKESH)</v>
    <v>4675237</v>
    <v>11222970</v>
    <v>1993</v>
  </rv>
  <rv s="2">
    <v>504</v>
  </rv>
  <rv s="0">
    <v>https://www.bing.com/financeapi/forcetrigger?t=ahiqsm&amp;q=XNSE%3aLICHSGFIN&amp;form=skydnc</v>
    <v>Learn more on Bing</v>
  </rv>
  <rv s="1">
    <v>en-IN</v>
    <v>ahiqsm</v>
    <v>268435456</v>
    <v>1</v>
    <v>Powered by Refinitiv</v>
    <v>0</v>
    <v>LIC HOUSING FINANCE LTD (XNSE:LICHSGFIN)</v>
    <v>2</v>
    <v>3</v>
    <v>Finance</v>
    <v>4</v>
    <v>542.45000000000005</v>
    <v>321</v>
    <v>1.2424999999999999</v>
    <v>8.9499999999999993</v>
    <v>2.5009999999999998E-2</v>
    <v>INR</v>
    <v>LIC Housing Finance Limited is a housing finance company. The Company is engaged in the business of providing finance for purchase, construction, repairs, renovation of houses/buildings. The Company provides long term finance to individuals for the purchase or construction of house/flat for residential purposes in India. It also provides finance on existing property for business/ personal needs and also gives loans to professionals for purchase/construction of clinics/nursing homes/ diagnostic centers/ office space and also for purchase of equipment. It offers a range of housing loans, such as home loans, plot loans, Pradhan Mantri Awas Yojana, Griha Suvidha Home loan, home loan for non-resident Indian (NRI) and home loan for pensioners, home improvement loan, home construction loan, home extension loan and top up loans. Its other loans include loan against property, loan against security, loan to professionals and loan against property for listed/unlisted companies.</v>
    <v>2427</v>
    <v>National Stock Exchange of India</v>
    <v>XNSE</v>
    <v>XNSE</v>
    <v>131, Maker Tower, F Premises,13 th Floor, Cuffe Parade Mumbai-400005, MUMBAI, MAHARASHTRA, 400005 IN</v>
    <v>371.2</v>
    <v>Banking Services</v>
    <v>Stock</v>
    <v>44642.47152777778</v>
    <v>506</v>
    <v>353.4</v>
    <v>196840000000</v>
    <v>LIC HOUSING FINANCE LTD</v>
    <v>LIC HOUSING FINANCE LTD</v>
    <v>359.6</v>
    <v>11.6</v>
    <v>357.85</v>
    <v>366.8</v>
    <v>550063000</v>
    <v>LICHSGFIN</v>
    <v>LIC HOUSING FINANCE LTD (XNSE:LICHSGFIN)</v>
    <v>4826254</v>
    <v>2884340</v>
    <v>1989</v>
  </rv>
  <rv s="2">
    <v>507</v>
  </rv>
  <rv s="0">
    <v>http://fr.wikipedia.org/wiki/Punjab_National_Bank</v>
    <v>Wikipedia</v>
  </rv>
  <rv s="4">
    <v>30</v>
    <v>509</v>
  </rv>
  <rv s="5">
    <v>11</v>
    <v>https://www.bing.com/th?id=AMMS_3202800a93aec7679f52d9bf3ccd07f3&amp;qlt=95</v>
    <v>510</v>
    <v>0</v>
    <v>https://www.bing.com/images/search?form=xlimg&amp;q=punjab+national+bank</v>
    <v>Image of Punjab National Bank</v>
  </rv>
  <rv s="0">
    <v>https://www.bing.com/financeapi/forcetrigger?t=ahjg7w&amp;q=XNSE%3aPNB&amp;form=skydnc</v>
    <v>Learn more on Bing</v>
  </rv>
  <rv s="6">
    <v>en-IN</v>
    <v>ahjg7w</v>
    <v>268435456</v>
    <v>1</v>
    <v>Powered by Refinitiv</v>
    <v>7</v>
    <v>Punjab National Bank (XNSE:PNB)</v>
    <v>9</v>
    <v>10</v>
    <v>Finance</v>
    <v>4</v>
    <v>48.2</v>
    <v>31.75</v>
    <v>1.6480999999999999</v>
    <v>-0.1</v>
    <v>-2.8010000000000001E-3</v>
    <v>INR</v>
    <v>Punjab National Bank (the Bank) is an India-based bank. The Bank’s segments include Treasury, Corporate/Wholesale banking, Retail banking and Other banking operations. The Treasury segment includes the entire investment portfolio and trading in foreign exchange contracts and derivative contracts. The Bank provides various banking services, such as agriculture banking, retail banking, treasury operations, corporate banking, merchant banking, non-resident Indian (NRI) services, depository services, digital banking services and mutual funds. Its depositary services include current deposits, savings deposits, term deposits, recurring deposits, Capital Gain Account Scheme and Gold Monetization Scheme. Its loan portfolio includes retail loans, agriculture loans, micro, small and medium enterprises (MSME) loans and corporate loans. Its other services include cash management services, export/import finance, gold card scheme for exporters, doorstep banking service and online trading.</v>
    <v>72241</v>
    <v>National Stock Exchange of India</v>
    <v>XNSE</v>
    <v>XNSE</v>
    <v>Plot No. 29 PNB Complex,, Belapaur, NAVI MUMBAI, MAHARASHTRA, 400614 IN</v>
    <v>35.85</v>
    <v>511</v>
    <v>Banking Services</v>
    <v>Stock</v>
    <v>44642.471712962964</v>
    <v>512</v>
    <v>34.950000000000003</v>
    <v>393093300000</v>
    <v>Punjab National Bank</v>
    <v>Punjab National Bank</v>
    <v>35.700000000000003</v>
    <v>9.16</v>
    <v>35.700000000000003</v>
    <v>35.6</v>
    <v>11011020000</v>
    <v>PNB</v>
    <v>Punjab National Bank (XNSE:PNB)</v>
    <v>46470194</v>
    <v>53061500</v>
    <v>1894</v>
  </rv>
  <rv s="2">
    <v>513</v>
  </rv>
  <rv s="0">
    <v>https://www.bing.com/financeapi/forcetrigger?t=ahis77&amp;q=XNSE%3aLTTS&amp;form=skydnc</v>
    <v>Learn more on Bing</v>
  </rv>
  <rv s="1">
    <v>en-IN</v>
    <v>ahis77</v>
    <v>268435456</v>
    <v>1</v>
    <v>Powered by Refinitiv</v>
    <v>0</v>
    <v>L&amp;T TECHNOLOGY SERVICES LIMITED (XNSE:LTTS)</v>
    <v>2</v>
    <v>3</v>
    <v>Finance</v>
    <v>4</v>
    <v>5955.5</v>
    <v>2470.58</v>
    <v>0.91239999999999999</v>
    <v>90.45</v>
    <v>1.8891000000000002E-2</v>
    <v>INR</v>
    <v>L&amp;T Technology Services Limited is an India-based engineering research and development services company. The Company provides services and solutions in the areas of product software, mechanical and manufacturing engineering, embedded systems, engineering analytics and plant engineering. The Company operates through five segments: Transportation, Telecom &amp; Hi Tech, Industrial Products, Plant Engineering and Medical Devices. It offers a range of engineering services and solutions for its global customers in the transportation industry for original equipment manufacturers (OEMs) in the automotive, trucks and off-highway vehicles and aerospace sectors. Its Telecom and Hi-tech segment provide engineering services and solutions that cater various sectors, including telecom, consumer electronics, semiconductor and media and entertainment. The Company exports engineering and design services to North America, Europe, the Middle East, Japan, Korea and other Asia-Pacific (APAC) countries.</v>
    <v>20118</v>
    <v>National Stock Exchange of India</v>
    <v>XNSE</v>
    <v>XNSE</v>
    <v>L&amp;T Technology Services Limited, 5th Floor, West Block-II, L&amp;T Knowledge City (IT/ITES) SEZ, VADODARA, GUJARAT, 390019 IN</v>
    <v>4891.6499999999996</v>
    <v>Construction &amp; Engineering</v>
    <v>Stock</v>
    <v>44642.471851851849</v>
    <v>515</v>
    <v>4720.05</v>
    <v>505298600000</v>
    <v>L&amp;T TECHNOLOGY SERVICES LIMITED</v>
    <v>L&amp;T TECHNOLOGY SERVICES LIMITED</v>
    <v>4802.3999999999996</v>
    <v>56.6</v>
    <v>4788.1000000000004</v>
    <v>4878.55</v>
    <v>105532200</v>
    <v>LTTS</v>
    <v>L&amp;T TECHNOLOGY SERVICES LIMITED (XNSE:LTTS)</v>
    <v>235956</v>
    <v>298920</v>
    <v>2012</v>
  </rv>
  <rv s="2">
    <v>516</v>
  </rv>
  <rv s="0">
    <v>https://www.bing.com/financeapi/forcetrigger?t=ays3k2&amp;q=XNSE%3aNEWGEN&amp;form=skydnc</v>
    <v>Learn more on Bing</v>
  </rv>
  <rv s="1">
    <v>en-IN</v>
    <v>ays3k2</v>
    <v>268435456</v>
    <v>1</v>
    <v>Powered by Refinitiv</v>
    <v>0</v>
    <v>NEWGEN SOFTWARE TECHNOLOGIES LIMITED (XNSE:NEWGEN)</v>
    <v>2</v>
    <v>3</v>
    <v>Finance</v>
    <v>4</v>
    <v>755</v>
    <v>271.55</v>
    <v>1.2901</v>
    <v>-4.0999999999999996</v>
    <v>-7.9379999999999989E-3</v>
    <v>INR</v>
    <v>Newgen Software Technologies Limited is an India-based enterprise software company. The Company offers cloud-based content services and low code process automation technologies. The Company's three core products are contextual content services (ECM), intelligent process automation (BPM) and omnichannel customer engagement (CCM). Its NewgenONE Digital Transformation is a cloud-based platform, with integration ecosystem, for automating end-to-end business processes and comprehensively managing content and communications. Its ECM platform helps customers in managing the end-to-end lifecycle of enterprise content, from origination to disposition, and providing the flexibility to access and deliver digital content across all channels and devices. The Low Code Process Automation platform enables application development for deep and complex business applications across devices. The CCM enhances customer experience with personalized, and consistent communication across channels.</v>
    <v>2603</v>
    <v>National Stock Exchange of India</v>
    <v>XNSE</v>
    <v>XNSE</v>
    <v>A-6, Satsang Vihar Marg, Qutab Institutional Area, NEW DELHI, DELHI, 110067 IN</v>
    <v>520.9</v>
    <v>Software &amp; IT Services</v>
    <v>Stock</v>
    <v>44642.471516203703</v>
    <v>518</v>
    <v>506.95</v>
    <v>36132120000</v>
    <v>NEWGEN SOFTWARE TECHNOLOGIES LIMITED</v>
    <v>NEWGEN SOFTWARE TECHNOLOGIES LIMITED</v>
    <v>520</v>
    <v>22.45</v>
    <v>516.5</v>
    <v>512.4</v>
    <v>69955700</v>
    <v>NEWGEN</v>
    <v>NEWGEN SOFTWARE TECHNOLOGIES LIMITED (XNSE:NEWGEN)</v>
    <v>70050</v>
    <v>87980</v>
    <v>1992</v>
  </rv>
  <rv s="2">
    <v>519</v>
  </rv>
  <rv s="0">
    <v>https://www.bing.com/financeapi/forcetrigger?t=ahj4p2&amp;q=XNSE%3aNAUKRI&amp;form=skydnc</v>
    <v>Learn more on Bing</v>
  </rv>
  <rv s="1">
    <v>en-IN</v>
    <v>ahj4p2</v>
    <v>268435456</v>
    <v>1</v>
    <v>Powered by Refinitiv</v>
    <v>0</v>
    <v>INFO EDGE (INDIA) LIMITED (XNSE:NAUKRI)</v>
    <v>2</v>
    <v>3</v>
    <v>Finance</v>
    <v>4</v>
    <v>7465.4</v>
    <v>4023.9</v>
    <v>1.0051000000000001</v>
    <v>117.35</v>
    <v>2.5274000000000001E-2</v>
    <v>INR</v>
    <v>Info Edge (India) Limited is an India-based company that is engaged in operating multiple Internet-based services through its various Web portals and mobile applications. The Company’s segments include Recruitment Solutions and Real State- 99acres. The Recruitment Solutions segment consists of Naukri and all other allied businesses, which provides hiring solutions for both business-to-business (B2B), as well as business-to-customers (B2C) . Real State- 99acres segment is focused on property listings, builders and brokers branding and visibility through micro-sites, home page links, and banners servicing real estate developers, builders and brokers. It operates in service verticals, which includes recruitment solutions through its brands naukri.com, iimjobs.com, hirist.com, ambitionbox.com, bigshyft.com, jobhai.com; in real estate services through its brand 99acres.com; in matrimonial services through its brand jeevansaathi.com, and in education services through its brand shiksha.com.</v>
    <v>4283</v>
    <v>National Stock Exchange of India</v>
    <v>XNSE</v>
    <v>XNSE</v>
    <v>B-8, Sector -132,, Noida, NOIDA, UTTAR PRADESH, 201304 IN</v>
    <v>4791.95</v>
    <v>Software &amp; IT Services</v>
    <v>Stock</v>
    <v>44642.471770833334</v>
    <v>521</v>
    <v>4560.3</v>
    <v>597450900000</v>
    <v>INFO EDGE (INDIA) LIMITED</v>
    <v>INFO EDGE (INDIA) LIMITED</v>
    <v>4655.95</v>
    <v>4.8099999999999996</v>
    <v>4643.1000000000004</v>
    <v>4760.45</v>
    <v>128675000</v>
    <v>NAUKRI</v>
    <v>INFO EDGE (INDIA) LIMITED (XNSE:NAUKRI)</v>
    <v>663502</v>
    <v>428480</v>
    <v>1995</v>
  </rv>
  <rv s="2">
    <v>522</v>
  </rv>
  <rv s="0">
    <v>https://www.bing.com/financeapi/forcetrigger?t=ahhjlh&amp;q=XNSE%3aDHAMPURSUG&amp;form=skydnc</v>
    <v>Learn more on Bing</v>
  </rv>
  <rv s="1">
    <v>en-IN</v>
    <v>ahhjlh</v>
    <v>268435456</v>
    <v>1</v>
    <v>Powered by Refinitiv</v>
    <v>0</v>
    <v>DHAMPUR SUGAR MILLS LIMITED (XNSE:DHAMPURSUG)</v>
    <v>2</v>
    <v>3</v>
    <v>Finance</v>
    <v>4</v>
    <v>567</v>
    <v>172.35</v>
    <v>1.0894999999999999</v>
    <v>1</v>
    <v>1.877E-3</v>
    <v>INR</v>
    <v>Dhampur Sugar Mills Limited is an India-based integrated sugarcane processing company engaged in the manufacturing and selling of sugar, power and chemicals. The Company’s segments include Sugar, Power, Chemicals / Ethano and Others. The Sugar segment manufacture and sale of sugar and its byproducts. The Power segment consists of co-generation and sale of power. The Chemicals / Ethano segment manufacture and sale of country liquor, ethanol, ethyl acetate, hand sanitizers and other allied products. The Others segment consists of sale of petrol and agricultural products. The Company’s products portfolio includes renewable power, fuel ethanol, alcohol, extra neutral alcohol, alcohol-based chemicals and biofertilizers.</v>
    <v>2806</v>
    <v>National Stock Exchange of India</v>
    <v>XNSE</v>
    <v>XNSE</v>
    <v>241, Okhla Industrial Estate, Phase-III, DELHI, DELHI, 110020 IN</v>
    <v>541</v>
    <v>Food &amp; Tobacco</v>
    <v>Stock</v>
    <v>44642.471504629626</v>
    <v>524</v>
    <v>521</v>
    <v>35371310000</v>
    <v>DHAMPUR SUGAR MILLS LIMITED</v>
    <v>DHAMPUR SUGAR MILLS LIMITED</v>
    <v>537.6</v>
    <v>14.9</v>
    <v>532.79999999999995</v>
    <v>533.79999999999995</v>
    <v>66387590</v>
    <v>DHAMPURSUG</v>
    <v>DHAMPUR SUGAR MILLS LIMITED (XNSE:DHAMPURSUG)</v>
    <v>502111</v>
    <v>3050650</v>
    <v>1933</v>
  </rv>
  <rv s="2">
    <v>525</v>
  </rv>
  <rv s="0">
    <v>https://www.bing.com/financeapi/forcetrigger?t=ahjif2&amp;q=XNSE%3aPRECWIRE&amp;form=skydnc</v>
    <v>Learn more on Bing</v>
  </rv>
  <rv s="1">
    <v>en-IN</v>
    <v>ahjif2</v>
    <v>268435456</v>
    <v>1</v>
    <v>Powered by Refinitiv</v>
    <v>0</v>
    <v>PRECISION WIRES INDIA LIMITED (XNSE:PRECWIRE)</v>
    <v>2</v>
    <v>3</v>
    <v>Finance</v>
    <v>4</v>
    <v>130.94999999999999</v>
    <v>35.299999999999997</v>
    <v>1.4087000000000001</v>
    <v>-1.6</v>
    <v>-1.9335000000000001E-2</v>
    <v>INR</v>
    <v>Precision Wires India Limited is an India-based company that is engaged in the production and sale of winding wires made of copper of all types. The Company is engaged in manufacturing of electrical equipment, general purpose, and special purpose machinery and equipment. It offers insulated enameled wires and other insulated electric conductors, including insulated enameled round winding wires, enameled strips, paper insulated copper conductors, and continuously transposed conductors. Its products include enameled round winding wires, enameled rectangular wiring wires, continuously transposed conductor, paper insulated copper conductor. Its wires are widely used in equipment, such as Rotating machines (manufacturer and repairer); Alternators; Hermetic motors (for refrigeration and air conditioning equipment); Power and Distribution Transformers; Control and Power supply Transformers; Ballasts; Auto Electricals; Electric hand Tools; Household appliances, and Fans.</v>
    <v>590</v>
    <v>National Stock Exchange of India</v>
    <v>XNSE</v>
    <v>XNSE</v>
    <v>Saiman House J.A. Raul Street Off,, Sayani Rd, Prabhadevi,, MUMBAI, MAHARASHTRA, 400025 IN</v>
    <v>83.35</v>
    <v>Machinery, Equipment &amp; Components</v>
    <v>Stock</v>
    <v>44642.471689814818</v>
    <v>527</v>
    <v>80.900000000000006</v>
    <v>9568898000</v>
    <v>PRECISION WIRES INDIA LIMITED</v>
    <v>PRECISION WIRES INDIA LIMITED</v>
    <v>82.75</v>
    <v>15.58</v>
    <v>82.75</v>
    <v>81.150000000000006</v>
    <v>115636200</v>
    <v>PRECWIRE</v>
    <v>PRECISION WIRES INDIA LIMITED (XNSE:PRECWIRE)</v>
    <v>91485</v>
    <v>80600</v>
    <v>1989</v>
  </rv>
  <rv s="2">
    <v>528</v>
  </rv>
  <rv s="0">
    <v>http://en.wikipedia.org/wiki/Canara_Bank</v>
    <v>Wikipedia</v>
  </rv>
  <rv s="4">
    <v>30</v>
    <v>530</v>
  </rv>
  <rv s="5">
    <v>11</v>
    <v>https://www.bing.com/th?id=AMMS_c85087fd4a4a5af8fc014bd99fcebd02&amp;qlt=95</v>
    <v>531</v>
    <v>0</v>
    <v>https://www.bing.com/images/search?form=xlimg&amp;q=canara+bank</v>
    <v>Image of THE CANARA BANK LIMITED</v>
  </rv>
  <rv s="0">
    <v>https://www.bing.com/financeapi/forcetrigger?t=ahhb77&amp;q=XNSE%3aCANBK&amp;form=skydnc</v>
    <v>Learn more on Bing</v>
  </rv>
  <rv s="6">
    <v>en-IN</v>
    <v>ahhb77</v>
    <v>268435456</v>
    <v>1</v>
    <v>Powered by Refinitiv</v>
    <v>7</v>
    <v>THE CANARA BANK LIMITED (XNSE:CANBK)</v>
    <v>9</v>
    <v>10</v>
    <v>Finance</v>
    <v>4</v>
    <v>272.8</v>
    <v>124.3</v>
    <v>1.5685</v>
    <v>1.05</v>
    <v>4.6680000000000003E-3</v>
    <v>INR</v>
    <v>Canara Bank Ltd. is an India-based bank. The Bank's segments include Treasury Operations, Retail Banking Operations, Wholesale Banking Operations, Life Insurance Operation and Other Banking Operations. The Bank provides personal banking, corporate banking, non-resident Indians banking, Internet banking, and micro, small and medium enterprises (MSME) banking services. Its retail lending operations include education loans, vehicle loans, housing loans and other personal loans. Its other services include merchant banking, bancassurance and mutual funds and government business. The Bank undertakes government business, comprising direct and indirect tax collections; payment of Central Government and State Government Pensions; handling of postal transactions and State Government treasury transactions; public provident fund scheme and senior citizens’ saving scheme, and issuing Sovereign Gold Bonds and Sukanya Samridhi Scheme. It has approximately 10,416 domestic branches.</v>
    <v>88213</v>
    <v>National Stock Exchange of India</v>
    <v>XNSE</v>
    <v>XNSE</v>
    <v>112, Jayachamarajendra Road, BANGALORE, KARNATAKA, 560002 IN</v>
    <v>227.1</v>
    <v>532</v>
    <v>Banking Services</v>
    <v>Stock</v>
    <v>44642.471712962964</v>
    <v>533</v>
    <v>220.15</v>
    <v>408088600000</v>
    <v>THE CANARA BANK LIMITED</v>
    <v>THE CANARA BANK LIMITED</v>
    <v>225</v>
    <v>7.13</v>
    <v>224.95</v>
    <v>226</v>
    <v>1814130000</v>
    <v>CANBK</v>
    <v>THE CANARA BANK LIMITED (XNSE:CANBK)</v>
    <v>9686196</v>
    <v>13370790</v>
    <v>1906</v>
  </rv>
  <rv s="2">
    <v>534</v>
  </rv>
  <rv s="0">
    <v>https://www.bing.com/financeapi/forcetrigger?t=ahjqnm&amp;q=XNSE%3aRSYSTEMS&amp;form=skydnc</v>
    <v>Learn more on Bing</v>
  </rv>
  <rv s="1">
    <v>en-IN</v>
    <v>ahjqnm</v>
    <v>268435456</v>
    <v>1</v>
    <v>Powered by Refinitiv</v>
    <v>0</v>
    <v>R SYSTEMS INTERNATIONAL LIMITED (XNSE:RSYSTEMS)</v>
    <v>2</v>
    <v>3</v>
    <v>Finance</v>
    <v>4</v>
    <v>354.95</v>
    <v>109</v>
    <v>0.29920000000000002</v>
    <v>-5.35</v>
    <v>-1.8615E-2</v>
    <v>INR</v>
    <v>R Systems International Limited is an India-based provider of technology, artificial intelligence, robotic process automation (RPA) services and solutions along with knowledge services. The Company delivers its services and solutions to technology companies and businesses. It offers its services and solutions to five businesses, including technology, telecom, healthcare and life science, finance and insurance, and retail and e-commerce. The Company operates through two segments: information technology services and business process outsourcing services. Its subsidiaries include R Systems, Inc., R Systems (Singapore) Pte Limited and R Systems Technologies Limited. Its solutions include Amazon Web Services (AWS) Powered Solutions, Campaign to Closure, Customer Experience Analytics and TOP Testing Suite. Its services include cloud enablement, digital platforms and solutions, Internet of things (IoT), business analytics, intelligent automation, modern data management and other.</v>
    <v>2247</v>
    <v>National Stock Exchange of India</v>
    <v>XNSE</v>
    <v>XNSE</v>
    <v>C-40, Sector-59,, NOIDA, UTTAR PRADESH, 201307 IN</v>
    <v>289.55</v>
    <v>Software &amp; IT Services</v>
    <v>Stock</v>
    <v>44642.471759259257</v>
    <v>536</v>
    <v>281</v>
    <v>34000410000</v>
    <v>R SYSTEMS INTERNATIONAL LIMITED</v>
    <v>R SYSTEMS INTERNATIONAL LIMITED</v>
    <v>287.39999999999998</v>
    <v>24.25</v>
    <v>287.39999999999998</v>
    <v>282.05</v>
    <v>118303400</v>
    <v>RSYSTEMS</v>
    <v>R SYSTEMS INTERNATIONAL LIMITED (XNSE:RSYSTEMS)</v>
    <v>106454</v>
    <v>161010</v>
    <v>1993</v>
  </rv>
  <rv s="2">
    <v>537</v>
  </rv>
  <rv s="0">
    <v>https://www.bing.com/financeapi/forcetrigger?t=ahgvqh&amp;q=XNSE%3aANDHRSUGAR&amp;form=skydnc</v>
    <v>Learn more on Bing</v>
  </rv>
  <rv s="1">
    <v>en-IN</v>
    <v>ahgvqh</v>
    <v>268435456</v>
    <v>1</v>
    <v>Powered by Refinitiv</v>
    <v>0</v>
    <v>THE ANDHRA SUGARS LIMITED (XNSE:ANDHRSUGAR)</v>
    <v>2</v>
    <v>3</v>
    <v>Finance</v>
    <v>4</v>
    <v>171.05</v>
    <v>57.87</v>
    <v>1.4280999999999999</v>
    <v>0.1</v>
    <v>6.4810000000000009E-4</v>
    <v>INR</v>
    <v>The Andhra Sugars Limited is an India-based manufacturer of sugar, industrial alcohol, chlor alkali products, aspirin, sulfuric acid, liquid and solid propellants. The Company also generates power through renewable and non-renewable resources. The Company operates through five segments: Sugars, Chlor Alkali, Power Generation, Industrial Chemicals and Others. Other segment comprises of bulk drug, UH 25 and monomethyl hydrazine (MMH), liquid hydrogen and hydroxyl-terminated polybutadiene (HTPB). Its products offering includes Sugars, Pharma, and Chemicals &amp; Fertilizers. It offers Sugars, which include Grade S31 and Sugar-Grade M31. Its Pharma products include Salicylic Acid Pure, Sodium Salicylate (Tech.), Salicylic Acid (Tech.), Aspirin Starch Granules, Granules, Aspirin USP, Aspirin BP, Acetylsalicylic acid Ph.Eur., Acetylsalicylic acid Ph.Eur., Acetylsalicylic acid Ph.Eur. and Aspirin IP. Its Chemicals &amp; Fertilizers products include Poly Aluminium Chloride (POWDER 30%) and other.</v>
    <v>2051</v>
    <v>National Stock Exchange of India</v>
    <v>XNSE</v>
    <v>XNSE</v>
    <v>Venkatarayapuram,, TANUKU, ANDHRA PRADESH, 534215 IN</v>
    <v>157.69999999999999</v>
    <v>Chemicals</v>
    <v>Stock</v>
    <v>44642.471493055556</v>
    <v>539</v>
    <v>152.5</v>
    <v>20913110000</v>
    <v>THE ANDHRA SUGARS LIMITED</v>
    <v>THE ANDHRA SUGARS LIMITED</v>
    <v>155.80000000000001</v>
    <v>11.52</v>
    <v>154.30000000000001</v>
    <v>154.4</v>
    <v>135535400</v>
    <v>ANDHRSUGAR</v>
    <v>THE ANDHRA SUGARS LIMITED (XNSE:ANDHRSUGAR)</v>
    <v>591795</v>
    <v>1049220</v>
    <v>1947</v>
  </rv>
  <rv s="2">
    <v>540</v>
  </rv>
  <rv s="0">
    <v>https://www.bing.com/financeapi/forcetrigger?t=ahiysm&amp;q=XNSE%3aMINDACORP&amp;form=skydnc</v>
    <v>Learn more on Bing</v>
  </rv>
  <rv s="1">
    <v>en-IN</v>
    <v>ahiysm</v>
    <v>268435456</v>
    <v>1</v>
    <v>Powered by Refinitiv</v>
    <v>0</v>
    <v>MINDA CORPORATION LIMITED (XNSE:MINDACORP)</v>
    <v>2</v>
    <v>3</v>
    <v>Finance</v>
    <v>4</v>
    <v>214</v>
    <v>91.35</v>
    <v>1.1785000000000001</v>
    <v>1.35</v>
    <v>6.8269999999999997E-3</v>
    <v>INR</v>
    <v>Minda Corporation Limited is an India-based holding company primarily engaged in the manufacturing and assembling of safety and security systems and its associated components for the automotive industry. The Company manufacturers of automotive components, including electronic and mechanical security systems, die casting, keyless solutions, starter &amp; alternator motors, telematics, wiring harnesses, components, instrument clusters, sensors, interior plastics and new components on electronics. The Company has a diversified product portfolio that includes mechatronics, information and connected systems, interior plastic and electronics for auto original equipment manufacturers (OEMs). The Company also provides lock kits, spares, locks and ignition switches. The Company’s products cater to two-wheelers, three-wheelers, four-wheelers, commercial vehicles and off-road vehicles. The Company manufacturer of aluminum &amp; zinc die casted components for global automotive &amp; non-automotive industry.</v>
    <v>3066</v>
    <v>National Stock Exchange of India</v>
    <v>XNSE</v>
    <v>XNSE</v>
    <v>D-6-11, Sector-59, Distt. G.B. Nagar, NOIDA, UTTAR PRADESH, 201301 IN</v>
    <v>201</v>
    <v>Automobiles &amp; Auto Parts</v>
    <v>Stock</v>
    <v>44642.471909722219</v>
    <v>542</v>
    <v>195.3</v>
    <v>46424930000</v>
    <v>MINDA CORPORATION LIMITED</v>
    <v>MINDA CORPORATION LIMITED</v>
    <v>196</v>
    <v>33.6</v>
    <v>197.75</v>
    <v>199.1</v>
    <v>234765800</v>
    <v>MINDACORP</v>
    <v>MINDA CORPORATION LIMITED (XNSE:MINDACORP)</v>
    <v>406882</v>
    <v>889480</v>
    <v>1985</v>
  </rv>
  <rv s="2">
    <v>543</v>
  </rv>
  <rv s="0">
    <v>https://www.bing.com/financeapi/forcetrigger?t=ahhkhw&amp;q=XNSE%3aDIVISLAB&amp;form=skydnc</v>
    <v>Learn more on Bing</v>
  </rv>
  <rv s="1">
    <v>en-IN</v>
    <v>ahhkhw</v>
    <v>268435456</v>
    <v>1</v>
    <v>Powered by Refinitiv</v>
    <v>0</v>
    <v>DIVI'S LABORATORIES LIMITED (XNSE:DIVISLAB)</v>
    <v>2</v>
    <v>3</v>
    <v>Finance</v>
    <v>4</v>
    <v>5425.1</v>
    <v>3350.55</v>
    <v>0.31090000000000001</v>
    <v>-7.7</v>
    <v>-1.7280000000000002E-3</v>
    <v>INR</v>
    <v>Divi's Laboratories Limited is an India-based company, which is engaged in manufacturing and sale of active pharmaceutical ingredients (APIs), intermediates and nutraceutical ingredients with predominance in exports. The Company’s products include Bupropion HCl, Capecitabine, Carbidopa, Diltiazem HCl, Dextromethorphan Base, Dextromethorphan HBr, Gabapentin, Iopamidol, Iohexol, Irbesartan, Lacosamide, Levetiracetam, Levodopa, Losartan, Nabumetone, Naproxen, Naproxen Sodium, Olmesartan Medoxomil, Pregabalin, Ticagrelor, Triprolidine HCl, Valacyclovir HCl, Valsartan, Venlafaxine HCl and Vigabatrin. The Company’s subsidiaries include Divi’s Laboratories USA, Inc., (Divi’s USA) and Divi’s Laboratories Europe AG (Divi’s Europe).</v>
    <v>16818</v>
    <v>National Stock Exchange of India</v>
    <v>XNSE</v>
    <v>XNSE</v>
    <v>1-72/23(P)/Divis/303,, Divi Towers, Cyber Hills, Gachibowli,, HYDERABAD, TELANGANA, 500032 IN</v>
    <v>4493.75</v>
    <v>Pharmaceuticals</v>
    <v>Stock</v>
    <v>44642.471712962964</v>
    <v>545</v>
    <v>4410</v>
    <v>1182994000000</v>
    <v>DIVI'S LABORATORIES LIMITED</v>
    <v>DIVI'S LABORATORIES LIMITED</v>
    <v>4456.25</v>
    <v>46.07</v>
    <v>4456.25</v>
    <v>4448.55</v>
    <v>265468600</v>
    <v>DIVISLAB</v>
    <v>DIVI'S LABORATORIES LIMITED (XNSE:DIVISLAB)</v>
    <v>292831</v>
    <v>402600</v>
    <v>1990</v>
  </rv>
  <rv s="2">
    <v>546</v>
  </rv>
  <rv s="0">
    <v>https://www.bing.com/financeapi/forcetrigger?t=ahj3bh&amp;q=XNSE%3aMUTHOOTFIN&amp;form=skydnc</v>
    <v>Learn more on Bing</v>
  </rv>
  <rv s="1">
    <v>en-IN</v>
    <v>ahj3bh</v>
    <v>268435456</v>
    <v>1</v>
    <v>Powered by Refinitiv</v>
    <v>0</v>
    <v>MUTHOOT FINANCE LIMITED (XNSE:MUTHOOTFIN)</v>
    <v>2</v>
    <v>3</v>
    <v>Finance</v>
    <v>4</v>
    <v>1721.95</v>
    <v>1121</v>
    <v>1.129</v>
    <v>14.45</v>
    <v>1.0668E-2</v>
    <v>INR</v>
    <v>Muthoot Finance Limited is an India-based gold financing company. The Company is a non-deposit taking, non-banking financial company, which is engaged primarily in the business of financing. It provides personal and business loans secured by gold jewelry. It lends against security of household used gold ornaments (HUGO) and does not deal in gold bullion. Its gold loan schemes include Muthoot One Percent Loan, Muthoot Ultimate Loan, Muthoot Delight Loan, Muthoot EMI Scheme, Muthoot Mudra Loan, Muthoot Advantage Loan, Muthoot High Value Loan Plus, Muthoot High Value Loan and Muthoot Big Business Loans. Its core offering is gold loans, however the Company offers a range of other products and services to its customers, which includes foreign inward money transfer services, domestic money transfer services, instant money transfer services, microfinance, non-convertible debentures, home loans, personal loans, corporate loans, foreign exchange services and insurance services, among others.</v>
    <v>25554</v>
    <v>National Stock Exchange of India</v>
    <v>XNSE</v>
    <v>XNSE</v>
    <v>2nd Floor, Muthoot Chambers,, Opposite Saritha Theatre Complex, Banerji Road, KOCHI, KERALA, 682018 IN</v>
    <v>1375</v>
    <v>Banking Services</v>
    <v>Stock</v>
    <v>44642.471909722219</v>
    <v>548</v>
    <v>1340.1</v>
    <v>543641300000</v>
    <v>MUTHOOT FINANCE LIMITED</v>
    <v>MUTHOOT FINANCE LIMITED</v>
    <v>1350</v>
    <v>13.45</v>
    <v>1354.55</v>
    <v>1369</v>
    <v>401344500</v>
    <v>MUTHOOTFIN</v>
    <v>MUTHOOT FINANCE LIMITED (XNSE:MUTHOOTFIN)</v>
    <v>476254</v>
    <v>819400</v>
    <v>1997</v>
  </rv>
  <rv s="2">
    <v>549</v>
  </rv>
  <rv s="0">
    <v>https://www.bing.com/financeapi/forcetrigger?t=ahi16h&amp;q=XNSE%3aGTLINFRA&amp;form=skydnc</v>
    <v>Learn more on Bing</v>
  </rv>
  <rv s="1">
    <v>en-IN</v>
    <v>ahi16h</v>
    <v>268435456</v>
    <v>1</v>
    <v>Powered by Refinitiv</v>
    <v>0</v>
    <v>GTL infrastructure ltd (XNSE:GTLINFRA)</v>
    <v>2</v>
    <v>3</v>
    <v>Finance</v>
    <v>4</v>
    <v>4.05</v>
    <v>0.65</v>
    <v>1.748</v>
    <v>-0.05</v>
    <v>-3.0303E-2</v>
    <v>INR</v>
    <v>GTL Infrastructure Limited is an India-based company, which is engaged in the business of passive infrastructure sharing, which is based on building, owning, operating and maintaining passive telecom infrastructure sites capable of hosting active network components of various technologies of multiple telecom operators, as well as providing energy management solutions. It offers telecom towers, which are shared by telecom operators in India. It enables the telecom networks with second-generation (2G), third-generation (3G) and fourth-generation (4G), through its approximately 28,000 telecom towers located across 22 telecom circles. The Company’s services offering includes Infrastructure Sharing and Energy Management. The Company enables telecom operators to host their active equipment at its sites by providing space in shelters. The Company delivers power on towers at predetermined costs to its customers. It utilizes energy sources and storage solutions through technology and skills.</v>
    <v>717</v>
    <v>National Stock Exchange of India</v>
    <v>XNSE</v>
    <v>XNSE</v>
    <v>412, Janmabhoomi Chambers,, 29, Walchand Hirachand Marg,, Ballard Estate, MUMBAI, MAHARASHTRA, 400001 IN</v>
    <v>1.65</v>
    <v>Telecommunications Services</v>
    <v>Stock</v>
    <v>44642.471770833334</v>
    <v>551</v>
    <v>1.6</v>
    <v>20828490000</v>
    <v>GTL infrastructure ltd</v>
    <v>GTL infrastructure ltd</v>
    <v>1.65</v>
    <v>0</v>
    <v>1.65</v>
    <v>1.6</v>
    <v>12623330000</v>
    <v>GTLINFRA</v>
    <v>GTL infrastructure ltd (XNSE:GTLINFRA)</v>
    <v>55095763</v>
    <v>59023590</v>
    <v>2004</v>
  </rv>
  <rv s="2">
    <v>552</v>
  </rv>
  <rv s="0">
    <v>https://www.bing.com/financeapi/forcetrigger?t=ahk7tc&amp;q=XNSE%3aSUZLON&amp;form=skydnc</v>
    <v>Learn more on Bing</v>
  </rv>
  <rv s="1">
    <v>en-IN</v>
    <v>ahk7tc</v>
    <v>268435456</v>
    <v>1</v>
    <v>Powered by Refinitiv</v>
    <v>0</v>
    <v>SUZLON ENERGY LIMITED (XNSE:SUZLON)</v>
    <v>2</v>
    <v>3</v>
    <v>Finance</v>
    <v>4</v>
    <v>13.1</v>
    <v>4.4000000000000004</v>
    <v>1.4822</v>
    <v>-0.1</v>
    <v>-1.0417000000000001E-2</v>
    <v>INR</v>
    <v>Suzlon Energy Limited is a provider of renewable energy solutions. The Company is a producer of wind turbines. It offers a range of solar energy solutions, such as solar irradiance assessment, land acquisition and approvals, infrastructure and power evacuation, supply chain, installation and commission and life cycle asset management. Its products include S111, S120, S128 and classic feet. The S111 is designed for higher energy generation and is available in various variants of 50 Hertz (Hz) and 60 Hz. It also offers a combination of an asynchronous induction generator with a six-pole design and a doubly-fed induction generator to enable optimum operations in variable wind speeds. The S120 is a wind turbine generator built on the 2.1 megawatts (MWs) platform. S120 is available in various variants: S120-105 meter (m), S120-120m, S120-140m and S120-140m. The S128 consists of a blade measuring 63 meters and has a rotor diameter of 128 meters.</v>
    <v>1638</v>
    <v>National Stock Exchange of India</v>
    <v>XNSE</v>
    <v>XNSE</v>
    <v>One Earth, Hadapsar, PUNE, MAHARASHTRA, 411028 IN</v>
    <v>9.6999999999999993</v>
    <v>Renewable Energy</v>
    <v>Stock</v>
    <v>44642.471736111111</v>
    <v>554</v>
    <v>9.4499999999999993</v>
    <v>88487460000</v>
    <v>SUZLON ENERGY LIMITED</v>
    <v>SUZLON ENERGY LIMITED</v>
    <v>9.65</v>
    <v>0</v>
    <v>9.6</v>
    <v>9.5</v>
    <v>9217444000</v>
    <v>SUZLON</v>
    <v>SUZLON ENERGY LIMITED (XNSE:SUZLON)</v>
    <v>15498103</v>
    <v>31387590</v>
    <v>1995</v>
  </rv>
  <rv s="2">
    <v>555</v>
  </rv>
  <rv s="0">
    <v>https://www.bing.com/financeapi/forcetrigger?t=c1d2qh&amp;q=XNSE%3aSURYODAY&amp;form=skydnc</v>
    <v>Learn more on Bing</v>
  </rv>
  <rv s="3">
    <v>en-IN</v>
    <v>c1d2qh</v>
    <v>268435456</v>
    <v>1</v>
    <v>Powered by Refinitiv</v>
    <v>5</v>
    <v>SURYODAY SMALL FINANCE BANK LIMITED (XNSE:SURYODAY)</v>
    <v>2</v>
    <v>6</v>
    <v>Finance</v>
    <v>4</v>
    <v>296.35000000000002</v>
    <v>101.8</v>
    <v>-0.55000000000000004</v>
    <v>-4.9259999999999998E-3</v>
    <v>INR</v>
    <v>Suryoday Small Finance Bank Ltd (the Bank) is an India-based company. The Company is engaged in providing loans to women from weaker sections to traditional banking services. The Bank also provides finance for mortgage loans, commercial vehicles, loans to micro, small and medium enterprises and loans to Non-banking finance companies (NBFCs). The Bank operates Treasury, Retail banking, Wholesale banking and Other Banking Operations.</v>
    <v>5131</v>
    <v>National Stock Exchange of India</v>
    <v>XNSE</v>
    <v>XNSE</v>
    <v>1101, Sharda Terraces,, Plot 65, Sector 11, CBD Belapur,, NAVI MUMBAI, MAHARASHTRA, 400614 IN</v>
    <v>113.2</v>
    <v>Banking Services</v>
    <v>Stock</v>
    <v>44642.471550925926</v>
    <v>557</v>
    <v>109.7</v>
    <v>11852620000</v>
    <v>SURYODAY SMALL FINANCE BANK LIMITED</v>
    <v>SURYODAY SMALL FINANCE BANK LIMITED</v>
    <v>111</v>
    <v>0</v>
    <v>111.65</v>
    <v>111.1</v>
    <v>106158800</v>
    <v>SURYODAY</v>
    <v>SURYODAY SMALL FINANCE BANK LIMITED (XNSE:SURYODAY)</v>
    <v>72852</v>
    <v>81320</v>
    <v>2008</v>
  </rv>
  <rv s="2">
    <v>558</v>
  </rv>
  <rv s="0">
    <v>https://www.bing.com/financeapi/forcetrigger?t=bvu2dm&amp;q=XNSE%3aSHAREINDIA&amp;form=skydnc</v>
    <v>Learn more on Bing</v>
  </rv>
  <rv s="3">
    <v>en-IN</v>
    <v>bvu2dm</v>
    <v>268435456</v>
    <v>1</v>
    <v>Powered by Refinitiv</v>
    <v>5</v>
    <v>SHARE INDIA SECURITIES LIMITED. (XNSE:SHAREINDIA)</v>
    <v>2</v>
    <v>6</v>
    <v>Finance</v>
    <v>4</v>
    <v>1368.85</v>
    <v>247</v>
    <v>2.15</v>
    <v>1.9289999999999999E-3</v>
    <v>INR</v>
    <v>Share India Securities Limited is an India-based financial services company. The Company is engaged in the business of share and stock broking, commodity derivatives broking, equity derivatives broking, currency derivatives broking, portfolio management, research analysis, mutual funds distribution, and to invest, buy, sell or otherwise deal in all kinds of securities and other related activities. The Company's segments include Share Broking / Trading Business, Insurance Business, Merchant Banking Business and NBFC Business. The Company's products and services include Broking and Depository, Merchant Banking, non-banking financial company (NBFC), Mutual Funds and Insurance. The Company's subsidiaries include Share India Capital Services Private Limited, Share India Fincap Private Limited, Share India Securities (IFSC) Private Limited, Share India Insurance Brokers Private Limited and others.</v>
    <v>1400</v>
    <v>National Stock Exchange of India</v>
    <v>XNSE</v>
    <v>XNSE</v>
    <v>14, Dayanand Vihar, Near Karkardooma Metro Station, DELHI, DELHI, 110092 IN</v>
    <v>1133.95</v>
    <v>Investment Banking &amp; Investment Services</v>
    <v>Stock</v>
    <v>44642.471493055556</v>
    <v>560</v>
    <v>1115</v>
    <v>35566270000</v>
    <v>SHARE INDIA SECURITIES LIMITED.</v>
    <v>SHARE INDIA SECURITIES LIMITED.</v>
    <v>1129</v>
    <v>22</v>
    <v>1114.7</v>
    <v>1116.8499999999999</v>
    <v>31906590</v>
    <v>SHAREINDIA</v>
    <v>SHARE INDIA SECURITIES LIMITED. (XNSE:SHAREINDIA)</v>
    <v>10802</v>
    <v>18130</v>
    <v>1994</v>
  </rv>
  <rv s="2">
    <v>561</v>
  </rv>
  <rv s="0">
    <v>https://www.bing.com/financeapi/forcetrigger?t=ahil9c&amp;q=XNSE%3aKELLTONTEC&amp;form=skydnc</v>
    <v>Learn more on Bing</v>
  </rv>
  <rv s="1">
    <v>en-IN</v>
    <v>ahil9c</v>
    <v>268435456</v>
    <v>1</v>
    <v>Powered by Refinitiv</v>
    <v>0</v>
    <v>KELLTON TECH SOLUTIONS LIMITED (XNSE:KELLTONTEC)</v>
    <v>2</v>
    <v>3</v>
    <v>Finance</v>
    <v>4</v>
    <v>135</v>
    <v>39.299999999999997</v>
    <v>2.4573999999999998</v>
    <v>0.55000000000000004</v>
    <v>6.1590000000000004E-3</v>
    <v>INR</v>
    <v>Kellton Tech Solutions Limited is an India-based global offers services in digital transformation, enterprise resource planning and other information technology services. The Company services include Agile Software Development, Digital Commerce and Marketing, Digital Integration, Outsourced Product Development, Platform Modernization, Professional Services, Research and Development Labs, Technology Consulting, and Testing and Automation. It offers four platforms, Kellton4Media, KLGAME, Optima and tHRive. Kellton4Media covers all the diverse tasks and functions involved in a media organization. It gives control over advertisement publishing, story filing and content editing. KLGAME is an Internet of things (IoT) solution, which is location-based gamification, analytics and messaging engine. Optima is a IoT-enabled digital oilfield analytical platform, which collects and aggregates troves of data from various sources and generates insights. tHRive is human capital management solution.</v>
    <v>1046</v>
    <v>National Stock Exchange of India</v>
    <v>XNSE</v>
    <v>XNSE</v>
    <v>Plot No. 1367, Road No. 45,, Jubilee Hills,, HYDERABAD, TELANGANA, 500033 IN</v>
    <v>91.45</v>
    <v>Software &amp; IT Services</v>
    <v>Stock</v>
    <v>44642.471759259257</v>
    <v>563</v>
    <v>89.1</v>
    <v>8617075000</v>
    <v>KELLTON TECH SOLUTIONS LIMITED</v>
    <v>KELLTON TECH SOLUTIONS LIMITED</v>
    <v>90</v>
    <v>11.86</v>
    <v>89.3</v>
    <v>89.85</v>
    <v>96495800</v>
    <v>KELLTONTEC</v>
    <v>KELLTON TECH SOLUTIONS LIMITED (XNSE:KELLTONTEC)</v>
    <v>398863</v>
    <v>495120</v>
    <v>1993</v>
  </rv>
  <rv s="2">
    <v>564</v>
  </rv>
  <rv s="0">
    <v>https://www.bing.com/financeapi/forcetrigger?t=ahithw&amp;q=XNSE%3aPOONAWALLA&amp;form=skydnc</v>
    <v>Learn more on Bing</v>
  </rv>
  <rv s="1">
    <v>en-IN</v>
    <v>ahithw</v>
    <v>268435456</v>
    <v>1</v>
    <v>Powered by Refinitiv</v>
    <v>0</v>
    <v>POONAWALLA FINCORP LIMITED (XNSE:POONAWALLA)</v>
    <v>2</v>
    <v>3</v>
    <v>Finance</v>
    <v>4</v>
    <v>302.89999999999998</v>
    <v>101.55</v>
    <v>2.4577</v>
    <v>4.55</v>
    <v>1.7763000000000001E-2</v>
    <v>INR</v>
    <v>Poonawalla Fincorp Limited, formerly Magma Fincorp Limited, is an India-based non-banking finance company. The Company is engaged primarily in the business of financing. It provides asset finance through its pan India branch network. The Company's business focusses on the necessities of people and enable them to earn their livelihood through financial products offered by it to the micro, small and medium enterprise (MSMEs), such as truck/taxi drivers who owns and operates commercial vehicles, construction equipment and passenger vehicles, among others to marginal farmers, small shopkeepers and other MSMEs. The products offered by the Company include business loan, professional loan, personal loan, home loan, loan against property, pre-owned car loan, medical equipment loan, insurance and auto lease. The Company, through Magma HDI General Insurance Company Limited, offers motor insurance, liability insurance, fire insurance, engineering insurance and marine insurance, among others.</v>
    <v>5505</v>
    <v>National Stock Exchange of India</v>
    <v>XNSE</v>
    <v>XNSE</v>
    <v>601, 6th Floor, Zero One IT Park, Sr. No. 79/1, Ghorpadi, Mundhwa Road, PUNE, MAHARASHTRA, 411036 IN</v>
    <v>262.89999999999998</v>
    <v>Banking Services</v>
    <v>Stock</v>
    <v>44642.471724537034</v>
    <v>566</v>
    <v>252.45</v>
    <v>195935200000</v>
    <v>POONAWALLA FINCORP LIMITED</v>
    <v>POONAWALLA FINCORP LIMITED</v>
    <v>257.2</v>
    <v>0</v>
    <v>256.14999999999998</v>
    <v>260.7</v>
    <v>764923500</v>
    <v>POONAWALLA</v>
    <v>POONAWALLA FINCORP LIMITED (XNSE:POONAWALLA)</v>
    <v>2910343</v>
    <v>3481140</v>
    <v>1978</v>
  </rv>
  <rv s="2">
    <v>567</v>
  </rv>
  <rv s="0">
    <v>https://www.bing.com/financeapi/forcetrigger?t=ahip9c&amp;q=XNSE%3aKTKBANK&amp;form=skydnc</v>
    <v>Learn more on Bing</v>
  </rv>
  <rv s="1">
    <v>en-IN</v>
    <v>ahip9c</v>
    <v>268435456</v>
    <v>1</v>
    <v>Powered by Refinitiv</v>
    <v>0</v>
    <v>THE KARNATAKA BANK LIMITED (XNSE:KTKBANK)</v>
    <v>2</v>
    <v>3</v>
    <v>Finance</v>
    <v>4</v>
    <v>81.849999999999994</v>
    <v>51.6</v>
    <v>1.3312999999999999</v>
    <v>-0.05</v>
    <v>-8.6059999999999999E-4</v>
    <v>INR</v>
    <v>The Karnataka Bank Limited is an India-based banking company. The Company is engaged in providing a range of banking and financial services, including retail, corporate banking and para-banking activities in addition to treasury and foreign exchange business. It operates in four segments: Treasury, Corporate Banking, Retail Banking and Other Banking Operations. Its products and services include borrowing facilities, deposits, providing returns on funds and helping with overseas transactions. It offers business banking services, such as working capital finance, term loans and business finance products. It offers personal banking services that include savings accounts, cards, loans, deposits, insurance, investment other services and other products. Its loan portfolio includes housing loan, vehicle loans, personal loan, loan against property, education loan, gold loan and other loans.</v>
    <v>8421</v>
    <v>National Stock Exchange of India</v>
    <v>XNSE</v>
    <v>XNSE</v>
    <v>P B No 599, Mahaveera Circle, MANGALORE, KARNATAKA, 575002 IN</v>
    <v>58.4</v>
    <v>Banking Services</v>
    <v>Stock</v>
    <v>44642.471666666665</v>
    <v>569</v>
    <v>57</v>
    <v>18061530000</v>
    <v>THE KARNATAKA BANK LIMITED</v>
    <v>THE KARNATAKA BANK LIMITED</v>
    <v>58.1</v>
    <v>4.41</v>
    <v>58.1</v>
    <v>58.05</v>
    <v>310869700</v>
    <v>KTKBANK</v>
    <v>THE KARNATAKA BANK LIMITED (XNSE:KTKBANK)</v>
    <v>641798</v>
    <v>995710</v>
    <v>1924</v>
  </rv>
  <rv s="2">
    <v>570</v>
  </rv>
  <rv s="0">
    <v>https://www.bing.com/financeapi/forcetrigger?t=ahhiur&amp;q=XNSE%3aDEEPAKNTR&amp;form=skydnc</v>
    <v>Learn more on Bing</v>
  </rv>
  <rv s="1">
    <v>en-IN</v>
    <v>ahhiur</v>
    <v>268435456</v>
    <v>1</v>
    <v>Powered by Refinitiv</v>
    <v>0</v>
    <v>DEEPAK NITRITE LIMITED (XNSE:DEEPAKNTR)</v>
    <v>2</v>
    <v>3</v>
    <v>Finance</v>
    <v>4</v>
    <v>3020</v>
    <v>1473.8</v>
    <v>1.0557000000000001</v>
    <v>-14.35</v>
    <v>-6.3219999999999995E-3</v>
    <v>INR</v>
    <v>Deepak Nitrite Limited is a chemical manufacturing company. The Company's segments include Basic Chemicals, Fine &amp; Speciality Chemicals, Performance Products and Phenolics. The Basic Chemicals segment offers sodium nitrite, sodium nitrate, nitro toluidines, fuel additives, and nitrosyl sulphuric acid. The Fine &amp; Speciality Chemicals segment offers xylidines, oximes, cumidines, and speciality agrochemicals. Its Performance Products include optical brightening agent (OBA) and diamino stilbene disulfonic acid (DASDA). Its Phenolics offers phenol, acetone, cumene, and isopropyl alcohol. The Company's products cater to several industries, such as colorants, petrochemicals, agrochemicals, rubber, pharmaceuticals, paper, textile and detergents. The Company's manufacturing facilities are located at Nandesari, Dahej (Gujarat), Roha, Taloja (Maharashtra) and Hyderabad (Telangana), and its research and development facility is located at Nandesari (Gujarat).</v>
    <v>1532</v>
    <v>National Stock Exchange of India</v>
    <v>XNSE</v>
    <v>XNSE</v>
    <v>Aaditya-I, National Highway No. 8, Chhani Road, VADODARA, GUJARAT, 390024 IN</v>
    <v>2285.5500000000002</v>
    <v>Chemicals</v>
    <v>Stock</v>
    <v>44642.471863425926</v>
    <v>572</v>
    <v>2190</v>
    <v>309584900000</v>
    <v>DEEPAK NITRITE LIMITED</v>
    <v>DEEPAK NITRITE LIMITED</v>
    <v>2280</v>
    <v>28.41</v>
    <v>2269.8000000000002</v>
    <v>2255.4499999999998</v>
    <v>136393000</v>
    <v>DEEPAKNTR</v>
    <v>DEEPAK NITRITE LIMITED (XNSE:DEEPAKNTR)</v>
    <v>1023348</v>
    <v>1094200</v>
    <v>1970</v>
  </rv>
  <rv s="2">
    <v>573</v>
  </rv>
  <rv s="0">
    <v>https://www.bing.com/financeapi/forcetrigger?t=ahkelh&amp;q=XNSE%3aTORNTPOWER&amp;form=skydnc</v>
    <v>Learn more on Bing</v>
  </rv>
  <rv s="1">
    <v>en-IN</v>
    <v>ahkelh</v>
    <v>268435456</v>
    <v>1</v>
    <v>Powered by Refinitiv</v>
    <v>0</v>
    <v>TORRENT POWER LIMITED (XNSE:TORNTPOWER)</v>
    <v>2</v>
    <v>3</v>
    <v>Finance</v>
    <v>4</v>
    <v>606.54999999999995</v>
    <v>375.5</v>
    <v>0.59230000000000005</v>
    <v>3.2</v>
    <v>6.6359999999999995E-3</v>
    <v>INR</v>
    <v>Torrent Power Limited is an India-based holding company. The Company is an integrated utility engaged in the business of power generation, transmission and distribution with operations in the states of Gujarat, Maharashtra, Uttar Pradesh, Karnataka, Rajasthan and Madhya Pradesh. It is also engaged in the business of cables manufacturing with operations in the state of Gujarat. The Company's segments include Generation, Transmission and Distribution of Power. Its aggregate operational generating capacity of 4.6 gigawatt (GW) with a mix of coal-based, gas-based, solar and wind power plants. It is focused on renewable business and developing electricity supply infrastructure at Dholera SIR and streamlining operations at franchised area of Shil, Mumbra and Kalwa.</v>
    <v>7803</v>
    <v>National Stock Exchange of India</v>
    <v>XNSE</v>
    <v>XNSE</v>
    <v>Samanvay, 600, Tapovan, Ambavadi, AHMEDABAD, GUJARAT, 380015 IN</v>
    <v>487</v>
    <v>Electrical Utilities &amp; IPPs</v>
    <v>Stock</v>
    <v>44642.471770833334</v>
    <v>575</v>
    <v>478.6</v>
    <v>231753400000</v>
    <v>TORRENT POWER LIMITED</v>
    <v>TORRENT POWER LIMITED</v>
    <v>482.2</v>
    <v>17.309999999999999</v>
    <v>482.2</v>
    <v>485.4</v>
    <v>480616800</v>
    <v>TORNTPOWER</v>
    <v>TORRENT POWER LIMITED (XNSE:TORNTPOWER)</v>
    <v>216083</v>
    <v>458090</v>
    <v>2004</v>
  </rv>
  <rv s="2">
    <v>576</v>
  </rv>
  <rv s="0">
    <v>https://www.bing.com/financeapi/forcetrigger?t=b1nulh&amp;q=XNSE%3aFCL&amp;form=skydnc</v>
    <v>Learn more on Bing</v>
  </rv>
  <rv s="1">
    <v>en-IN</v>
    <v>b1nulh</v>
    <v>268435456</v>
    <v>1</v>
    <v>Powered by Refinitiv</v>
    <v>0</v>
    <v>FINEOTEX CHEMICAL LIMITED (XNSE:FCL)</v>
    <v>2</v>
    <v>3</v>
    <v>Finance</v>
    <v>4</v>
    <v>180.4</v>
    <v>57.1</v>
    <v>2.3917999999999999</v>
    <v>-0.7</v>
    <v>-4.2500000000000003E-3</v>
    <v>INR</v>
    <v>Fineotex Chemical Limited is an India-based company, which is engaged in the business of manufacturing of textile chemicals, auxiliaries and specialty chemicals. Its product categories include textile chemicals, oil and gas, and cleaning and hygiene. It manufactures specialty textile chemicals for the entire value chain for the textile industry, including pre-treatment, dyeing, printing and finishing processes. Its water based drilling fluid chemicals include clay/ shale inhibitors, lubricant, specialty chemicals, spotting fluid and loss circulation additive. Its oil based drilling fluid chemicals include specialty oil based drilling fluid chemicals. Its cleaning and hygiene product categories include disinfection, housekeeping, kitchen care and laundry. Its main products include finishing textiles processing chemicals, printing textiles processing chemicals and dyeing textiles processing chemicals. It supplies textile chemicals and specialty chemicals to approximately 60 countries.</v>
    <v>117</v>
    <v>National Stock Exchange of India</v>
    <v>XNSE</v>
    <v>XNSE</v>
    <v>42-43, Manorama Chambers, S.V. Road,, Bandra (West),, MUMBAI, MAHARASHTRA, 400050 IN</v>
    <v>167.35</v>
    <v>Chemicals</v>
    <v>Stock</v>
    <v>44642.471620370372</v>
    <v>578</v>
    <v>163</v>
    <v>18240270000</v>
    <v>FINEOTEX CHEMICAL LIMITED</v>
    <v>FINEOTEX CHEMICAL LIMITED</v>
    <v>164.7</v>
    <v>36.54</v>
    <v>164.7</v>
    <v>164</v>
    <v>110748400</v>
    <v>FCL</v>
    <v>FINEOTEX CHEMICAL LIMITED (XNSE:FCL)</v>
    <v>482070</v>
    <v>903560</v>
    <v>2004</v>
  </rv>
  <rv s="2">
    <v>579</v>
  </rv>
  <rv s="0">
    <v>https://www.bing.com/financeapi/forcetrigger?t=bzwi3m&amp;q=XNSE%3aHERANBA&amp;form=skydnc</v>
    <v>Learn more on Bing</v>
  </rv>
  <rv s="3">
    <v>en-IN</v>
    <v>bzwi3m</v>
    <v>268435456</v>
    <v>1</v>
    <v>Powered by Refinitiv</v>
    <v>5</v>
    <v>Heranba Industries Ltd (XNSE:HERANBA)</v>
    <v>2</v>
    <v>6</v>
    <v>Finance</v>
    <v>4</v>
    <v>866.85</v>
    <v>551.1</v>
    <v>-12.75</v>
    <v>-1.9422999999999999E-2</v>
    <v>INR</v>
    <v>Heranba Industries Limited is an India-based crop protection chemical manufacturer, exporter and marketing company. The Company manufactures intermediates, technicals and formulations. It produces synthetic pyrethroids, such as cypermethrin, alphacypermethrin, deltamethrin, permitherin, lambda cyhalothrin etc. Its business verticals include Domestic Institutional sales of Technicals, which is engaged in manufacturing and selling of technicals in bulk to domestic companies; Technicals Exports, which is engaged in exports of technicals in bulk to customers outside India; Branded Formulations focused on manufacturing and selling of formulations; Formulations Exports, which is engaged in export of formulations in bulk and customer specified packaging outside India, and Public Health, which is focused on manufacturing and selling of general insect control chemicals by participating in public health tenders issued by governmental authorities and selling to pest management companies.</v>
    <v>601</v>
    <v>National Stock Exchange of India</v>
    <v>XNSE</v>
    <v>XNSE</v>
    <v>Factory Lane, Borivali (W), 101/102, Kanchanganga,, MUMBAI, MAHARASHTRA, 400092 IN</v>
    <v>661.7</v>
    <v>Chemicals</v>
    <v>Stock</v>
    <v>44642.471539351849</v>
    <v>581</v>
    <v>641</v>
    <v>26266840000</v>
    <v>Heranba Industries Ltd</v>
    <v>Heranba Industries Ltd</v>
    <v>660</v>
    <v>13.55</v>
    <v>656.45</v>
    <v>643.70000000000005</v>
    <v>40013470</v>
    <v>HERANBA</v>
    <v>Heranba Industries Ltd (XNSE:HERANBA)</v>
    <v>67085</v>
    <v>156000</v>
    <v>1992</v>
  </rv>
  <rv s="2">
    <v>582</v>
  </rv>
  <rv s="0">
    <v>https://www.bing.com/financeapi/forcetrigger?t=ahiz27&amp;q=XNSE%3aMINDTREE&amp;form=skydnc</v>
    <v>Learn more on Bing</v>
  </rv>
  <rv s="1">
    <v>en-IN</v>
    <v>ahiz27</v>
    <v>268435456</v>
    <v>1</v>
    <v>Powered by Refinitiv</v>
    <v>0</v>
    <v>MindTree Limited (XNSE:MINDTREE)</v>
    <v>2</v>
    <v>3</v>
    <v>Finance</v>
    <v>4</v>
    <v>5060</v>
    <v>1945.6</v>
    <v>0.98119999999999996</v>
    <v>58.45</v>
    <v>1.4700999999999999E-2</v>
    <v>INR</v>
    <v>MindTree Limited is an India-based holding company. The Company is an international information technology consulting and implementation company that delivers business solutions through global software development. The Company operates through four business segments: Retail, Consumer Packaged Goods (CPG) and Manufacturing (RCM), Banking, Financial Services and Insurance (BFSI), Communications, Media and Technology (CMT), and Travel and Hospitality (TH). The Company offers services in the areas of analytics and information management, application development and maintenance, business process management, business technology consulting, cloud, independent testing, infrastructure management services, mobility, product engineering, and SAP services, amongst others. It has offices in India, the United States, the United Kingdom, Japan, Singapore, Malaysia, Australia, Germany, Switzerland, Sweden, the United Arab Emirates, Netherlands, Canada, Belgium, France, and others.</v>
    <v>22195</v>
    <v>National Stock Exchange of India</v>
    <v>XNSE</v>
    <v>XNSE</v>
    <v>Global Village, RVCE Post , Mysore Road, Bangalore, Mysore Road, BANGALORE, KARNATAKA, 560059 IN</v>
    <v>4045</v>
    <v>Software &amp; IT Services</v>
    <v>Stock</v>
    <v>44642.471770833334</v>
    <v>584</v>
    <v>3956</v>
    <v>655370800000</v>
    <v>MindTree Limited</v>
    <v>MindTree Limited</v>
    <v>3956</v>
    <v>43.76</v>
    <v>3975.95</v>
    <v>4034.4</v>
    <v>164833800</v>
    <v>MINDTREE</v>
    <v>MindTree Limited (XNSE:MINDTREE)</v>
    <v>422680</v>
    <v>701330</v>
    <v>1999</v>
  </rv>
  <rv s="2">
    <v>585</v>
  </rv>
  <rv s="0">
    <v>https://www.bing.com/financeapi/forcetrigger?t=ahj8rw&amp;q=XNSE%3aNTPC&amp;form=skydnc</v>
    <v>Learn more on Bing</v>
  </rv>
  <rv s="1">
    <v>en-IN</v>
    <v>ahj8rw</v>
    <v>268435456</v>
    <v>1</v>
    <v>Powered by Refinitiv</v>
    <v>0</v>
    <v>NTPC LIMITED (XNSE:NTPC)</v>
    <v>2</v>
    <v>3</v>
    <v>Finance</v>
    <v>4</v>
    <v>152.1</v>
    <v>97.05</v>
    <v>0.71830000000000005</v>
    <v>-0.05</v>
    <v>-3.7619999999999998E-4</v>
    <v>INR</v>
    <v>NTPC Limited is an India-based company, which is engaged in the generation and sale of electricity. The principal business activity of the Company is electric power generation by a coal-based thermal power plant. The Company's business segments include Generation and Others. The Company's Other business includes providing consultancy, project management and supervision, re-gasification, oil and gas exploration and coal mining. The Company's subsidiaries include NTPC Electric Supply Company Ltd., NTPC Vidyut Vyapar Nigam Ltd., Kanti Bijlee Utpadan Nigam Ltd., Nabinagar Power Generating Company Ltd., Bhartiya Rail Bijlee Company Ltd., Patratu Vidyut Utpadan Nigam Ltd., North Eastern Electric Power Corporation Ltd., THDC India Limited, NTPC Mining Ltd., NTPC EDMC Waste Solutions Private Ltd., NTPC Renewable Energy Ltd. and Ratnagiri Gas and Power Private Ltd.</v>
    <v>18509</v>
    <v>National Stock Exchange of India</v>
    <v>XNSE</v>
    <v>XNSE</v>
    <v>NTPC Bhawan, SCOPE Complex, Institutional Area, Lodhi Road, NEW DELHI, DELHI, 110003 IN</v>
    <v>134.15</v>
    <v>Electrical Utilities &amp; IPPs</v>
    <v>Stock</v>
    <v>44642.471724537034</v>
    <v>587</v>
    <v>131.75</v>
    <v>1288687000000</v>
    <v>NTPC LIMITED</v>
    <v>NTPC LIMITED</v>
    <v>133.30000000000001</v>
    <v>8.02</v>
    <v>132.9</v>
    <v>132.85</v>
    <v>9696666000</v>
    <v>NTPC</v>
    <v>NTPC LIMITED (XNSE:NTPC)</v>
    <v>10343712</v>
    <v>12091080</v>
    <v>1975</v>
  </rv>
  <rv s="2">
    <v>588</v>
  </rv>
  <rv s="0">
    <v>https://www.bing.com/financeapi/forcetrigger?t=ahjha2&amp;q=XNSE%3aPOWERGRID&amp;form=skydnc</v>
    <v>Learn more on Bing</v>
  </rv>
  <rv s="1">
    <v>en-IN</v>
    <v>ahjha2</v>
    <v>268435456</v>
    <v>1</v>
    <v>Powered by Refinitiv</v>
    <v>0</v>
    <v>POWER GRID CORPORATION OF INDIA LIMITED (XNSE:POWERGRID)</v>
    <v>2</v>
    <v>3</v>
    <v>Finance</v>
    <v>4</v>
    <v>223.4</v>
    <v>146.71</v>
    <v>0.47820000000000001</v>
    <v>3.8</v>
    <v>1.8546E-2</v>
    <v>INR</v>
    <v>Power Grid Corporation of India Limited is a power transmission company. The Company is engaged in planning, implementation, operation and maintenance of Inter-State Transmission System (ISTS), telecom and consultancy services. The Company’s segments include Transmission Services, Consultancy Services and Telecom Services. Its Transmission Services segment is engaged in transmission of bulk power across different states of India. Its Consultancy Services segment provides consultancy services in the transmission, distribution and telecom sectors, including planning design, engineering, load dispatch, optical ground wire (OPGW) on intra state transmission network, procurement management, operation and maintenance, financing, and project management. The Company utilizes the spare optical fibers available in the OPGW laid on the transmission network for providing telecom services to various customers, including telecom service providers and information technology (IT) companies.</v>
    <v>8766</v>
    <v>National Stock Exchange of India</v>
    <v>XNSE</v>
    <v>XNSE</v>
    <v>Saudamini, Plot No.2, Sector 29, GURGAON, HARYANA, 122001 IN</v>
    <v>209.5</v>
    <v>Electrical Utilities &amp; IPPs</v>
    <v>Stock</v>
    <v>44642.471782407411</v>
    <v>590</v>
    <v>204.05</v>
    <v>1429270000000</v>
    <v>POWER GRID CORPORATION OF INDIA LIMITED</v>
    <v>POWER GRID CORPORATION OF INDIA LIMITED</v>
    <v>205</v>
    <v>9.34</v>
    <v>204.9</v>
    <v>208.7</v>
    <v>6975453000</v>
    <v>POWERGRID</v>
    <v>POWER GRID CORPORATION OF INDIA LIMITED (XNSE:POWERGRID)</v>
    <v>9963973</v>
    <v>13778200</v>
    <v>1989</v>
  </rv>
  <rv s="2">
    <v>591</v>
  </rv>
  <rv s="0">
    <v>https://www.bing.com/financeapi/forcetrigger?t=ahiwfr&amp;q=XNSE%3aMASTEK&amp;form=skydnc</v>
    <v>Learn more on Bing</v>
  </rv>
  <rv s="1">
    <v>en-IN</v>
    <v>ahiwfr</v>
    <v>268435456</v>
    <v>1</v>
    <v>Powered by Refinitiv</v>
    <v>0</v>
    <v>MASTEK LIMITED (XNSE:MASTEK)</v>
    <v>2</v>
    <v>3</v>
    <v>Finance</v>
    <v>4</v>
    <v>3669</v>
    <v>1145.7</v>
    <v>1.9056</v>
    <v>-8.4</v>
    <v>-2.7650000000000001E-3</v>
    <v>INR</v>
    <v>Mastek Limited is an India-based enterprise digital transformation specialist. The Company is a provider of vertically focused enterprise technology solutions. Its segments include UK &amp; Europe operations, North America operations, Middle East and Others. The portfolio of its offerings includes business and technology services, which consist of application development, application maintenance, business intelligence and data warehousing, testing and assurance and legacy modernization. Its services include digital application and engineering, Oracle cloud and enterprise applications, digital commerce and experience, data, automation and artificial intelligence, and cloud and software as a service (SaaS) managed services. It caters to various industries, including public sector and government, healthcare and life sciences, retail and consumer, manufacturing and industrial, and financial services. It carries out its operations in India and has its software development centers in India.</v>
    <v>3792</v>
    <v>National Stock Exchange of India</v>
    <v>XNSE</v>
    <v>XNSE</v>
    <v>106,Sdf-Iv ,Seepz, Andheri(e), MUMBAI, MAHARASHTRA, 400096 IN</v>
    <v>3074</v>
    <v>Software &amp; IT Services</v>
    <v>Stock</v>
    <v>44642.47152777778</v>
    <v>593</v>
    <v>2975</v>
    <v>91200750000</v>
    <v>MASTEK LIMITED</v>
    <v>MASTEK LIMITED</v>
    <v>3030</v>
    <v>29.17</v>
    <v>3038.2</v>
    <v>3029.8</v>
    <v>30018020</v>
    <v>MASTEK</v>
    <v>MASTEK LIMITED (XNSE:MASTEK)</v>
    <v>65801</v>
    <v>141910</v>
    <v>1982</v>
  </rv>
  <rv s="2">
    <v>594</v>
  </rv>
  <rv s="0">
    <v>https://www.bing.com/financeapi/forcetrigger?t=ahioa2&amp;q=XNSE%3aBSOFT&amp;form=skydnc</v>
    <v>Learn more on Bing</v>
  </rv>
  <rv s="1">
    <v>en-IN</v>
    <v>ahioa2</v>
    <v>268435456</v>
    <v>1</v>
    <v>Powered by Refinitiv</v>
    <v>0</v>
    <v>BIRLASOFT LIMITED (XNSE:BSOFT)</v>
    <v>2</v>
    <v>3</v>
    <v>Finance</v>
    <v>4</v>
    <v>585.85</v>
    <v>215.9</v>
    <v>1.2761</v>
    <v>22.15</v>
    <v>4.9915000000000001E-2</v>
    <v>INR</v>
    <v>Birlasoft Limited is an India-based company, which is engaged in providing information technology (IT) services, consulting, and business solutions. The Company provides a range of services, which includes digital and enterprise technologies and services. Its digital services include data analytics, connected products, intelligence automation, connected products, cloud, and blockchain. Its enterprise technologies and services include customer relationship management, manufacturing, execution systems, product lifecycle management, supply chain management, IT transformation, applications management, testing, infrastructure and cloud technology. Its solutions include intelliAsset, TruView contract lifecycle management (CLM), TruLens, Supplier Risk Rader, submission automation, and AKOYA. It serves various industries, which include automotive, banking, manufacturing, capital markets, insurance, media and entertainment, energy and resources, life science and healthcare and utilities.</v>
    <v>11051</v>
    <v>National Stock Exchange of India</v>
    <v>XNSE</v>
    <v>XNSE</v>
    <v>35 &amp; 36, Rajiv Gandhi Infotech Park,, Phase - I, MIDC ,Hinjawadi, PUNE, MAHARASHTRA, 411057 IN</v>
    <v>468.85</v>
    <v>Software &amp; IT Services</v>
    <v>Stock</v>
    <v>44642.471643518518</v>
    <v>596</v>
    <v>443.35</v>
    <v>124026400000</v>
    <v>BIRLASOFT LIMITED</v>
    <v>BIRLASOFT LIMITED</v>
    <v>443.8</v>
    <v>28.49</v>
    <v>443.75</v>
    <v>465.9</v>
    <v>279496100</v>
    <v>BSOFT</v>
    <v>BIRLASOFT LIMITED (XNSE:BSOFT)</v>
    <v>6214056</v>
    <v>2108700</v>
    <v>1990</v>
  </rv>
  <rv s="2">
    <v>597</v>
  </rv>
  <rv s="0">
    <v>https://www.bing.com/financeapi/forcetrigger?t=ahjukr&amp;q=XNSE%3aSCI&amp;form=skydnc</v>
    <v>Learn more on Bing</v>
  </rv>
  <rv s="1">
    <v>en-IN</v>
    <v>ahjukr</v>
    <v>268435456</v>
    <v>1</v>
    <v>Powered by Refinitiv</v>
    <v>0</v>
    <v>SHIPPING CORPORATION OF INDIA LIMITED (XNSE:SCI)</v>
    <v>2</v>
    <v>3</v>
    <v>Finance</v>
    <v>4</v>
    <v>160.19999999999999</v>
    <v>93.15</v>
    <v>1.2214</v>
    <v>1.9</v>
    <v>1.6558E-2</v>
    <v>INR</v>
    <v>Shipping Corporation of India Limited is an India-based company, which is engaged in the sea and coastal freight water transport business. The Company's segments include Liner, Bulk Carrier, Tanker, Technical &amp; Offshore, and Others. The Liner segment includes breakbulk, container transport, passenger vessels, and passenger vessels and research vessels managed on behalf of other organizations. The Bulk Carrier segment includes dry bulk carriers. Technical &amp; Offshore services segment includes the Company-owned offshore vessels, offshore vessels managed on behalf of other organizations and technical consultancy. The Others segment includes Maritime Training Institute operations. It offers a range of services, including tankers, bulk carriers, container, offshore, breakbulk, coastal &amp; passenger services, chartering, lighterage, dry docking and shipbuilding consultancy. It provides offshore marine logistics support to the Indian oil industry in its indigenous oil exploration activities.</v>
    <v>596</v>
    <v>National Stock Exchange of India</v>
    <v>XNSE</v>
    <v>XNSE</v>
    <v>Shipping House 245 Madam Cama Road, MUMBAI, MAHARASHTRA, 400021 IN</v>
    <v>117.9</v>
    <v>Freight &amp; Logistics Services</v>
    <v>Stock</v>
    <v>44642.471550925926</v>
    <v>599</v>
    <v>114.5</v>
    <v>53450440000</v>
    <v>SHIPPING CORPORATION OF INDIA LIMITED</v>
    <v>SHIPPING CORPORATION OF INDIA LIMITED</v>
    <v>115</v>
    <v>6.69</v>
    <v>114.75</v>
    <v>116.65</v>
    <v>465799000</v>
    <v>SCI</v>
    <v>SHIPPING CORPORATION OF INDIA LIMITED (XNSE:SCI)</v>
    <v>1213452</v>
    <v>1387890</v>
    <v>1950</v>
  </rv>
  <rv s="2">
    <v>600</v>
  </rv>
  <rv s="0">
    <v>https://www.bing.com/financeapi/forcetrigger?t=ahi4ww&amp;q=XNSE%3aHIKAL&amp;form=skydnc</v>
    <v>Learn more on Bing</v>
  </rv>
  <rv s="1">
    <v>en-IN</v>
    <v>ahi4ww</v>
    <v>268435456</v>
    <v>1</v>
    <v>Powered by Refinitiv</v>
    <v>0</v>
    <v>HIKAL LIMITED (XNSE:HIKAL)</v>
    <v>2</v>
    <v>3</v>
    <v>Finance</v>
    <v>4</v>
    <v>742</v>
    <v>143</v>
    <v>1.5105999999999999</v>
    <v>-2.5</v>
    <v>-6.1419999999999999E-3</v>
    <v>INR</v>
    <v>Hikal Limited is engaged in the manufacturing of various chemical intermediates, specialty chemicals, active pharma, ingredients, and contract research activities. The Company’s operating segments include the crop protection and pharmaceuticals space. The Crop protection produce and trades in pesticides and herbicides. Its facilities are in Taloja, Mahad (Maharashtra), and Panoli (Gujarat). The Pharmaceuticals space produce and trades in active pharmaceuticals ingredients. Its facilities are in Jigani (Bengaluru) and Panoli (Gujarat). The Company’s products and services include gabapentin, thiabendazole, and diuron contract development and custom manufacturing of intermediates, application programming interface (APIs), and artificial intelligence (AI’s). It offers solutions to route scouting, process development, analytical method development, technology development, process engineering, scale-up support, and small-scale synthesis.</v>
    <v>1528</v>
    <v>National Stock Exchange of India</v>
    <v>XNSE</v>
    <v>XNSE</v>
    <v>Great Eastern Chambers, Sector 11, CBD-Belapur, NAVI MUMBAI, MAHARASHTRA, 400614 IN</v>
    <v>417.85</v>
    <v>Pharmaceuticals</v>
    <v>Stock</v>
    <v>44642.471701388888</v>
    <v>602</v>
    <v>400</v>
    <v>50189570000</v>
    <v>HIKAL LIMITED</v>
    <v>HIKAL LIMITED</v>
    <v>416</v>
    <v>26.32</v>
    <v>407.05</v>
    <v>404.55</v>
    <v>123300800</v>
    <v>HIKAL</v>
    <v>HIKAL LIMITED (XNSE:HIKAL)</v>
    <v>101496</v>
    <v>115300</v>
    <v>1988</v>
  </rv>
  <rv s="2">
    <v>603</v>
  </rv>
  <rv s="0">
    <v>https://www.bing.com/financeapi/forcetrigger?t=ahjrvh&amp;q=XNSE%3aSAIL&amp;form=skydnc</v>
    <v>Learn more on Bing</v>
  </rv>
  <rv s="1">
    <v>en-IN</v>
    <v>ahjrvh</v>
    <v>268435456</v>
    <v>1</v>
    <v>Powered by Refinitiv</v>
    <v>0</v>
    <v>STEEL AUTHORITY OF INDIA LIMITED (XNSE:SAIL)</v>
    <v>2</v>
    <v>3</v>
    <v>Finance</v>
    <v>4</v>
    <v>151.30000000000001</v>
    <v>67.599999999999994</v>
    <v>1.9282999999999999</v>
    <v>0.1</v>
    <v>1.0059999999999999E-3</v>
    <v>INR</v>
    <v>Steel Authority of India Limited is an India-based company, which is engaged primarily in steel manufacturing business in the country. The Company's segments include Bhilai Steel Plant, Durgapur Steel Plant, Rourkela Steel Plant, Bokaro Steel Plant, IISCO Steel Plant, AlloySteels Plant, Salem Steel Plant, Visvesvaraya Iron &amp; Steel Plant and Others. It manufactures and sells a range of steel products, such as pig iron, cold rolled products, pipes, semis, structurals, TMT, galvanised products, bars, rods, rebars, plates, railway products, wheels and axles, hot rolled products, stainless steel products, electrical steels, SAIL SeQR TMT Bars and SAIL Nex. It produces iron and steel at approximately five integrated plants and approximately three special steel plants, located principally in the eastern and central regions of India. The Company's subsidiaries include SAIL Refractory Company Limited and Chhattisgarh Mega Steel Limited.</v>
    <v>65564</v>
    <v>National Stock Exchange of India</v>
    <v>XNSE</v>
    <v>XNSE</v>
    <v>Ispat Bhawan, Lodi Road, NEW DELHI, DELHI, 110003 IN</v>
    <v>101.45</v>
    <v>Metals &amp; Mining</v>
    <v>Stock</v>
    <v>44642.471550925926</v>
    <v>605</v>
    <v>98.25</v>
    <v>410574200000</v>
    <v>STEEL AUTHORITY OF INDIA LIMITED</v>
    <v>STEEL AUTHORITY OF INDIA LIMITED</v>
    <v>99.9</v>
    <v>3.1</v>
    <v>99.4</v>
    <v>99.5</v>
    <v>4130525000</v>
    <v>SAIL</v>
    <v>STEEL AUTHORITY OF INDIA LIMITED (XNSE:SAIL)</v>
    <v>43769916</v>
    <v>41117020</v>
    <v>1973</v>
  </rv>
  <rv s="2">
    <v>606</v>
  </rv>
  <rv s="0">
    <v>https://www.bing.com/financeapi/forcetrigger?t=ahj4jc&amp;q=XNSE%3aNATIONALUM&amp;form=skydnc</v>
    <v>Learn more on Bing</v>
  </rv>
  <rv s="1">
    <v>en-IN</v>
    <v>ahj4jc</v>
    <v>268435456</v>
    <v>1</v>
    <v>Powered by Refinitiv</v>
    <v>0</v>
    <v>NATIONAL ALUMINIUM CO LTD (XNSE:NATIONALUM)</v>
    <v>2</v>
    <v>3</v>
    <v>Finance</v>
    <v>4</v>
    <v>132.69999999999999</v>
    <v>50.7</v>
    <v>0.98660000000000003</v>
    <v>-0.6</v>
    <v>-4.8859999999999997E-3</v>
    <v>INR</v>
    <v>National Aluminium Company Limited is an India-based company that is primarily engaged in the business of manufacturing and selling of alumina and aluminum. The Company’s segments the Chemical and Aluminium. The Chemical segment includes calcined alumina, alumina hydrate and other related products. The Aluminium segment includes aluminum ingots, wire rods, billets, strips, rolled and other related products. The Company is operating over 22.75 lakh tons per (TPA) annum alumina refinery plant located at Damanjodi in Koraput district of Odisha and approximately four lakh TPA aluminum smelter located at Angul, Odisha. It also has over 1200 megawatts (MW) captive thermal power plant adjacent to smelter plant. The Company is operating approximately four wind power plants with total capacity of over 198.40 MW located in the state of Andhra Pradesh (Gandikota), Rajasthan (Jaisalmer and Devikot) and Maharastra (Sangli).</v>
    <v>5805</v>
    <v>National Stock Exchange of India</v>
    <v>XNSE</v>
    <v>XNSE</v>
    <v>Nalco Bhavan, P/1, Nayapalli, BHUBANESHWAR, ORISSA, 751013 IN</v>
    <v>126</v>
    <v>Metals &amp; Mining</v>
    <v>Stock</v>
    <v>44642.471620370372</v>
    <v>608</v>
    <v>121.7</v>
    <v>225538400000</v>
    <v>NATIONAL ALUMINIUM CO LTD</v>
    <v>NATIONAL ALUMINIUM CO LTD</v>
    <v>124</v>
    <v>7.92</v>
    <v>122.8</v>
    <v>122.2</v>
    <v>1836632000</v>
    <v>NATIONALUM</v>
    <v>NATIONAL ALUMINIUM CO LTD (XNSE:NATIONALUM)</v>
    <v>23499881</v>
    <v>34013350</v>
    <v>1981</v>
  </rv>
  <rv s="2">
    <v>609</v>
  </rv>
  <rv s="0">
    <v>https://www.bing.com/financeapi/forcetrigger?t=ahhlvh&amp;q=XNSE%3aDSSL&amp;form=skydnc</v>
    <v>Learn more on Bing</v>
  </rv>
  <rv s="10">
    <v>en-IN</v>
    <v>ahhlvh</v>
    <v>268435456</v>
    <v>1</v>
    <v>Powered by Refinitiv</v>
    <v>18</v>
    <v>DYNACONS SYSTEMS AND SOLUTIONS LIMITED (XNSE:DSSL)</v>
    <v>2</v>
    <v>19</v>
    <v>Finance</v>
    <v>4</v>
    <v>263.89999999999998</v>
    <v>68</v>
    <v>1.5842000000000001</v>
    <v>0.05</v>
    <v>2.2149999999999999E-4</v>
    <v>INR</v>
    <v>Dynacons Systems &amp; Solutions Limited is an India-based information technology (IT) solutions company. The Company is engaged in providing a range of end-to-end solutions to customers. It operates in system integration and services segment. The Company undertakes all activities related to IT infrastructure, including infrastructure design and consulting services, turnkey systems integration of large network and data center infrastructures, including supply of associated equipment and software, onsite and remote facilities management of multi-location infrastructure of domestic clients. The Company's offerings include a range of enterprise IT and office automation services, such as infrastructure managed services, break fix services, managed print services, cloud computing, systems integration services, and applications development and maintenance. Its system integration portfolio offers architect, integrate and manage custom application and information infrastructures.</v>
    <v>National Stock Exchange of India</v>
    <v>XNSE</v>
    <v>XNSE</v>
    <v>78, Ratna Jyot Industrial Estate, Irla Lane,Vile Parle (W), MUMBAI, MAHARASHTRA, 400056 IN</v>
    <v>231.4</v>
    <v>Software &amp; IT Services</v>
    <v>Stock</v>
    <v>44642.471909722219</v>
    <v>611</v>
    <v>225</v>
    <v>2546027000</v>
    <v>DYNACONS SYSTEMS AND SOLUTIONS LIMITED</v>
    <v>DYNACONS SYSTEMS AND SOLUTIONS LIMITED</v>
    <v>225.75</v>
    <v>17.579999999999998</v>
    <v>225.75</v>
    <v>225.8</v>
    <v>11278080</v>
    <v>DSSL</v>
    <v>DYNACONS SYSTEMS AND SOLUTIONS LIMITED (XNSE:DSSL)</v>
    <v>33757</v>
    <v>86770</v>
    <v>1995</v>
  </rv>
  <rv s="2">
    <v>612</v>
  </rv>
  <rv s="0">
    <v>https://www.bing.com/financeapi/forcetrigger?t=ahkjtc&amp;q=XNSE%3aVEDL&amp;form=skydnc</v>
    <v>Learn more on Bing</v>
  </rv>
  <rv s="1">
    <v>en-IN</v>
    <v>ahkjtc</v>
    <v>268435456</v>
    <v>1</v>
    <v>Powered by Refinitiv</v>
    <v>0</v>
    <v>Vedanta Limited (XNSE:VEDL)</v>
    <v>2</v>
    <v>3</v>
    <v>Finance</v>
    <v>4</v>
    <v>416</v>
    <v>209.75</v>
    <v>1.5161</v>
    <v>4</v>
    <v>9.9990000000000009E-3</v>
    <v>INR</v>
    <v>Vedanta Limited is an India-based diversified natural resources company. The Company produces aluminum, copper, zinc, lead, silver, iron ore, oil and gas, and commercial energy. It operates through five reportable segments: oil and gas, aluminum, copper, iron ore and power. Its aluminum business includes a refinery and captive power plant at Lanjigarh and a smelter and captive power plants at Jharsuguda, both situated in the state of Odisha in Eastern India. Its power operations include a thermal coal-based commercial power facility of 600 megawatts (MW) at Jharsuguda. It is also in the business of commercial power generation, steel manufacturing and port operations in India and manufacturing of glass substrates in South Korea and Taiwan. It has operations in India, Zambia, Namibia and South Africa. Its subsidiaries include Cairn Energy Hydrocarbons Limited, Sesa Mining Corporation Limited, Copper Mines of Tasmania Pty Ltd and others.</v>
    <v>17047</v>
    <v>National Stock Exchange of India</v>
    <v>XNSE</v>
    <v>XNSE</v>
    <v>Vedanta Limited, 75, Nehru Road, Vile Parle (E), MUMBAI, MAHARASHTRA, 400099 IN</v>
    <v>416</v>
    <v>Metals &amp; Mining</v>
    <v>Stock</v>
    <v>44642.471550925926</v>
    <v>614</v>
    <v>402</v>
    <v>1483311000000</v>
    <v>Vedanta Limited</v>
    <v>Vedanta Limited</v>
    <v>404.7</v>
    <v>7.65</v>
    <v>400.05</v>
    <v>404.05</v>
    <v>3707813000</v>
    <v>VEDL</v>
    <v>Vedanta Limited (XNSE:VEDL)</v>
    <v>22136086</v>
    <v>12921670</v>
    <v>1965</v>
  </rv>
  <rv s="2">
    <v>615</v>
  </rv>
  <rv s="0">
    <v>https://www.bing.com/financeapi/forcetrigger?t=ahi8a2&amp;q=XNSE%3aICICIGI&amp;form=skydnc</v>
    <v>Learn more on Bing</v>
  </rv>
  <rv s="1">
    <v>en-IN</v>
    <v>ahi8a2</v>
    <v>268435456</v>
    <v>1</v>
    <v>Powered by Refinitiv</v>
    <v>0</v>
    <v>ICICI LOMBARD GENERAL INSURANCE COMPANY LIMITED (XNSE:ICICIGI)</v>
    <v>2</v>
    <v>3</v>
    <v>Finance</v>
    <v>4</v>
    <v>1675</v>
    <v>1192</v>
    <v>0.66439999999999999</v>
    <v>9.85</v>
    <v>7.9400000000000009E-3</v>
    <v>INR</v>
    <v>ICICI Lombard General Insurance Company Limited is an India-based general insurance company. The Company offers insurance coverage for motor, health, travel, home, student travel and more. Its segments include Fire, Engineering, Marine Cargo, Marine Hull, Motor OD, Motor TP, Workmen’s Compensation, Public/Product Liability, Personal Accident, Aviation, Health, Credit Insurance, Crop/Weather Insurance and Others. Its products include motor insurance, car insurance, two-wheeler insurance, health insurance, complete health insurance, health booster, personal accident insurance, international travel insurance, home insurance, marine insurance, business insurance, rural insurance, cyber insurance, third party insurance and crop insurance. It also offers various services, such as grievance redressal, retrieve quote, intimate claim, marine/property claims, live chat and renew policy.</v>
    <v>10236</v>
    <v>National Stock Exchange of India</v>
    <v>XNSE</v>
    <v>XNSE</v>
    <v>ICICI Lombard House, 414, Veer Savarkar Marg, Near Siddhi Vinayak Temple, Prabhadevi, MUMBAI, MAHARASHTRA, 400025 IN</v>
    <v>1253</v>
    <v>Insurance</v>
    <v>Stock</v>
    <v>44642.471886574072</v>
    <v>617</v>
    <v>1224.0999999999999</v>
    <v>608973400000</v>
    <v>ICICI LOMBARD GENERAL INSURANCE COMPANY LIMITED</v>
    <v>ICICI LOMBARD GENERAL INSURANCE COMPANY LIMITED</v>
    <v>1240.6500000000001</v>
    <v>45.71</v>
    <v>1240.55</v>
    <v>1250.4000000000001</v>
    <v>490889800</v>
    <v>ICICIGI</v>
    <v>ICICI LOMBARD GENERAL INSURANCE COMPANY LIMITED (XNSE:ICICIGI)</v>
    <v>388976</v>
    <v>942040</v>
    <v>2000</v>
  </rv>
  <rv s="2">
    <v>618</v>
  </rv>
  <rv s="0">
    <v>https://www.bing.com/financeapi/forcetrigger?t=ahgpxm&amp;q=XNSE%3aAARTIDRUGS&amp;form=skydnc</v>
    <v>Learn more on Bing</v>
  </rv>
  <rv s="1">
    <v>en-IN</v>
    <v>ahgpxm</v>
    <v>268435456</v>
    <v>1</v>
    <v>Powered by Refinitiv</v>
    <v>0</v>
    <v>AARTI DRUGS LIMITED (XNSE:AARTIDRUGS)</v>
    <v>2</v>
    <v>3</v>
    <v>Finance</v>
    <v>4</v>
    <v>841.8</v>
    <v>437.35</v>
    <v>1.0374000000000001</v>
    <v>-0.95</v>
    <v>-2.101E-3</v>
    <v>INR</v>
    <v>Aarti Drugs Limited is an India-based pharmaceutical company engaged in manufacturing active pharmaceutical ingredients (APIs), pharma intermediates, specialty chemicals. The Company, through its wholly-owned subsidiary Pinnacle Life Science Private Limited, is focused on producing formulations. The Company’s products under APIs include Ciprofloxacin Hydrochloride, Metronidazole, Metformin HCL, Ketoconazole and Ofloxacin. Its pharma intermediates products are Tinidazole, Celecoxib, Ciprofloxacin, Clopidogrel, Diclofenac, Ketoconazole, Nimesulide and Raloxifene. It also offers specialty chemicals, such as Benzene Sulphonyl Chloride and Methyl Nicotinate. The Company’s products under development include Alcoholism Treatment, Anticoagulant, Antihyperphosphatemia, Anti-cholestrol, Cardiovascular, Cardiprotectant and Antidiabetic.</v>
    <v>1239</v>
    <v>National Stock Exchange of India</v>
    <v>XNSE</v>
    <v>XNSE</v>
    <v>Ground Floor, Mahendra Industrial Estate,, Plot No. 109-D,Road No.29,, MUMBAI, MAHARASHTRA, 400022 IN</v>
    <v>459.6</v>
    <v>Pharmaceuticals</v>
    <v>Stock</v>
    <v>44642.471574074072</v>
    <v>620</v>
    <v>450.1</v>
    <v>41873720000</v>
    <v>AARTI DRUGS LIMITED</v>
    <v>AARTI DRUGS LIMITED</v>
    <v>452</v>
    <v>20.85</v>
    <v>452.2</v>
    <v>451.25</v>
    <v>92600000</v>
    <v>AARTIDRUGS</v>
    <v>AARTI DRUGS LIMITED (XNSE:AARTIDRUGS)</v>
    <v>114477</v>
    <v>121660</v>
    <v>1984</v>
  </rv>
  <rv s="2">
    <v>621</v>
  </rv>
  <rv s="0">
    <v>https://www.bing.com/financeapi/forcetrigger?t=ahguzr&amp;q=XNSE%3aAMARAJABAT&amp;form=skydnc</v>
    <v>Learn more on Bing</v>
  </rv>
  <rv s="1">
    <v>en-IN</v>
    <v>ahguzr</v>
    <v>268435456</v>
    <v>1</v>
    <v>Powered by Refinitiv</v>
    <v>0</v>
    <v>AMARA RAJA BATTERIES LIMITED (XNSE:AMARAJABAT)</v>
    <v>2</v>
    <v>3</v>
    <v>Finance</v>
    <v>4</v>
    <v>886.45</v>
    <v>520</v>
    <v>0.87580000000000002</v>
    <v>-1.3</v>
    <v>-2.2420000000000001E-3</v>
    <v>INR</v>
    <v>Amara Raja Batteries Limited is an India-based manufacturer of lead-acid storage batteries for industrial and automotive applications in the Indian battery industry. The Company's Industrial battery division is the supplier to telecom service providers, telecom equipment manufacturers, the uninterruptible power supply (UPS) sector (original equipment manufacturers (OEM) and replacement), Indian railways and to the power, oil and gas, among other industry segments. Its industrial battery brands consist of PowerStack, Amaron Volt, Amaron Sleek, Amaron Brute, Amaron Solar and Amaron Quanta. The Company's Automotive battery division manufactures automotive batteries under the brands, AMARON and PowerZone, which are distributed through its pan-India sales and service retail network. The Company supplies automotive batteries under OE relationships to various automotive companies. Its industrial and automotive batteries are exported to countries in the Indian Ocean Rim.</v>
    <v>10605</v>
    <v>National Stock Exchange of India</v>
    <v>XNSE</v>
    <v>XNSE</v>
    <v>Terminal A, 1-18/1/AMR/NR, Nanakramguda, Gachibowli, HYDERABAD, TELANGANA, 500032 IN</v>
    <v>580.29999999999995</v>
    <v>Machinery, Equipment &amp; Components</v>
    <v>Stock</v>
    <v>44642.471493055556</v>
    <v>623</v>
    <v>570.1</v>
    <v>99062710000</v>
    <v>AMARA RAJA BATTERIES LIMITED</v>
    <v>AMARA RAJA BATTERIES LIMITED</v>
    <v>575</v>
    <v>16.43</v>
    <v>579.95000000000005</v>
    <v>578.65</v>
    <v>170812500</v>
    <v>AMARAJABAT</v>
    <v>AMARA RAJA BATTERIES LIMITED (XNSE:AMARAJABAT)</v>
    <v>466104</v>
    <v>596980</v>
    <v>1985</v>
  </rv>
  <rv s="2">
    <v>624</v>
  </rv>
  <rv s="0">
    <v>http://en.wikipedia.org/wiki/Mahindra_&amp;_Mahindra</v>
    <v>Wikipedia</v>
  </rv>
  <rv s="4">
    <v>30</v>
    <v>626</v>
  </rv>
  <rv s="5">
    <v>11</v>
    <v>https://www.bing.com/th?id=AMMS_7809404109fa52c669af5c5c7cbbcc64&amp;qlt=95</v>
    <v>627</v>
    <v>0</v>
    <v>https://www.bing.com/images/search?form=xlimg&amp;q=mahindra+%26+mahindra</v>
    <v>Image of MAHINDRA AND MAHINDRA LIMITED</v>
  </rv>
  <rv s="0">
    <v>https://www.bing.com/financeapi/forcetrigger?t=ahizgh&amp;q=XNSE%3aM%26M&amp;form=skydnc</v>
    <v>Learn more on Bing</v>
  </rv>
  <rv s="6">
    <v>en-IN</v>
    <v>ahizgh</v>
    <v>268435456</v>
    <v>1</v>
    <v>Powered by Refinitiv</v>
    <v>7</v>
    <v>MAHINDRA AND MAHINDRA LIMITED (XNSE:M&amp;M)</v>
    <v>9</v>
    <v>10</v>
    <v>Finance</v>
    <v>4</v>
    <v>979</v>
    <v>671.15</v>
    <v>1.4782999999999999</v>
    <v>2.1</v>
    <v>2.6800000000000001E-3</v>
    <v>INR</v>
    <v>Mahindra and Mahindra Limited is an India-based company that is primarily engaged in the mobility products and farm solutions. The Company’s segments include Automotive and Farm Equipment. The Automotive segment comprises the sale of automobiles, spares, mobility solutions, construction equipment and related services. The Farm Equipment segment comprises the sale of tractors, implements, spares and related services It also comprises of Powerol and spares business unit. The Company offers a range of products and solutions, including sport utility vehicles (SUVs), pickups, commercial vehicles and tractors to electric vehicles, two-wheelers, and construction equipment. Its industries include aerospace, aftermarket, agribusiness, automotive, boats, clean energy, consulting, construction equipment, defense, farm equipment, hospitality, information technology, insurance broking, logistics, power backup, retail, steel, real estate and infrastructure, and vehicle and equipment finance.</v>
    <v>19941</v>
    <v>National Stock Exchange of India</v>
    <v>XNSE</v>
    <v>XNSE</v>
    <v>Mahindra Towers,, Dr. G. M. Bhosale Marg,, P. K. Kurne Chowk, Worli,, MUMBAI, MAHARASHTRA, 400018 IN</v>
    <v>789.05</v>
    <v>628</v>
    <v>Automobiles &amp; Auto Parts</v>
    <v>Stock</v>
    <v>44642.47152777778</v>
    <v>629</v>
    <v>769</v>
    <v>935977100000</v>
    <v>MAHINDRA AND MAHINDRA LIMITED</v>
    <v>MAHINDRA AND MAHINDRA LIMITED</v>
    <v>783</v>
    <v>14.77</v>
    <v>783.5</v>
    <v>785.6</v>
    <v>1194610000</v>
    <v>M&amp;M</v>
    <v>MAHINDRA AND MAHINDRA LIMITED (XNSE:M&amp;M)</v>
    <v>5436875</v>
    <v>4037690</v>
    <v>1945</v>
  </rv>
  <rv s="2">
    <v>630</v>
  </rv>
  <rv s="0">
    <v>https://www.bing.com/financeapi/forcetrigger?t=ahhqjc&amp;q=XNSE%3aEXIDEIND&amp;form=skydnc</v>
    <v>Learn more on Bing</v>
  </rv>
  <rv s="1">
    <v>en-IN</v>
    <v>ahhqjc</v>
    <v>268435456</v>
    <v>1</v>
    <v>Powered by Refinitiv</v>
    <v>0</v>
    <v>EXIDE INDUSTRIES LIMITED (XNSE:EXIDEIND)</v>
    <v>2</v>
    <v>3</v>
    <v>Finance</v>
    <v>4</v>
    <v>204.9</v>
    <v>139.30000000000001</v>
    <v>0.80979999999999996</v>
    <v>0</v>
    <v>0</v>
    <v>INR</v>
    <v>Exide Industries Limited is an India-based storage battery company. The Company’s segments include Storage batteries &amp; allied products and Life Insurance business. The Company offers automotive batteries products, which includes four-wheeler batteries, three-wheeler batteries, two-wheeler batteries and Exide e-ride batteries; industrial batteries products and applications areas, which includes railways, telecommunications, power and infrastructural projects, traction and motive power, online/offline Uninterruptible Power Supply (UPS) systems and Miners’ Cap lamps; inverter batteries products, which includes tubular inverter batteries and flat plate inverter batteries; home up systems; solar solutions, which includes solar power generating systems, solar inverters and solar photovoltaics (PV) models; Genset batteries; e-rickshaw vehicles, and submarine batteries. Its brands include Exide, Index, Dynex, Chloride, Black Panther, CEIL and SF SONIC. The Company has over nine factories.</v>
    <v>5202</v>
    <v>National Stock Exchange of India</v>
    <v>XNSE</v>
    <v>XNSE</v>
    <v>Exide House, 59E, Chowringhee Road, KOLKATA, WEST BENGAL, 700020 IN</v>
    <v>155.5</v>
    <v>Automobiles &amp; Auto Parts</v>
    <v>Stock</v>
    <v>44642.471504629626</v>
    <v>632</v>
    <v>152.80000000000001</v>
    <v>131622500000</v>
    <v>EXIDE INDUSTRIES LIMITED</v>
    <v>EXIDE INDUSTRIES LIMITED</v>
    <v>154.5</v>
    <v>16.649999999999999</v>
    <v>154.85</v>
    <v>154.85</v>
    <v>850000000</v>
    <v>EXIDEIND</v>
    <v>EXIDE INDUSTRIES LIMITED (XNSE:EXIDEIND)</v>
    <v>1458193</v>
    <v>2363370</v>
    <v>1947</v>
  </rv>
  <rv s="2">
    <v>633</v>
  </rv>
</rvData>
</file>

<file path=xl/richData/rdrichvaluestructure.xml><?xml version="1.0" encoding="utf-8"?>
<rvStructures xmlns="http://schemas.microsoft.com/office/spreadsheetml/2017/richdata" count="1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strument type" t="s"/>
    <k n="Last trade time"/>
    <k n="LearnMoreOnLink" t="r"/>
    <k n="Low"/>
    <k n="Name" t="s"/>
    <k n="Official 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rvStructures>
</file>

<file path=xl/richData/rdsupportingpropertybag.xml><?xml version="1.0" encoding="utf-8"?>
<supportingPropertyBags xmlns="http://schemas.microsoft.com/office/spreadsheetml/2017/richdata2">
  <spbArrays count="9">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Description</v>
      <v t="s">Headquarters</v>
      <v t="s">Instrument type</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_Flags</v>
      <v t="s">UniqueName</v>
      <v t="s">_DisplayString</v>
      <v t="s">LearnMoreOnLink</v>
      <v t="s">ExchangeID</v>
      <v t="s">%ProviderInfo</v>
    </a>
  </spbArrays>
  <spbData count="25">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1</v>
      <v>2</v>
      <v>1</v>
      <v>3</v>
      <v>1</v>
      <v>1</v>
      <v>1</v>
      <v>4</v>
      <v>4</v>
      <v>5</v>
      <v>6</v>
      <v>1</v>
      <v>1</v>
      <v>1</v>
      <v>4</v>
      <v>7</v>
      <v>8</v>
      <v>9</v>
      <v>4</v>
    </spb>
    <spb s="0">
      <v>2</v>
      <v>Name</v>
      <v>LearnMoreOnLink</v>
    </spb>
    <spb s="6">
      <v>0</v>
      <v>0</v>
    </spb>
    <spb s="7">
      <v>8</v>
      <v>1</v>
      <v>1</v>
      <v>1</v>
      <v>1</v>
    </spb>
    <spb s="8">
      <v>1</v>
      <v>2</v>
      <v>2</v>
      <v>1</v>
      <v>3</v>
      <v>1</v>
      <v>10</v>
      <v>1</v>
      <v>1</v>
      <v>4</v>
      <v>4</v>
      <v>5</v>
      <v>6</v>
      <v>1</v>
      <v>1</v>
      <v>1</v>
      <v>4</v>
      <v>7</v>
      <v>8</v>
      <v>9</v>
      <v>4</v>
    </spb>
    <spb s="9">
      <v>Powered by Refinitiv</v>
    </spb>
    <spb s="0">
      <v>3</v>
      <v>Name</v>
      <v>LearnMoreOnLink</v>
    </spb>
    <spb s="10">
      <v>1</v>
      <v>2</v>
      <v>2</v>
      <v>1</v>
      <v>3</v>
      <v>1</v>
      <v>1</v>
      <v>1</v>
      <v>4</v>
      <v>4</v>
      <v>5</v>
      <v>6</v>
      <v>1</v>
      <v>1</v>
      <v>1</v>
      <v>4</v>
      <v>7</v>
      <v>9</v>
      <v>4</v>
    </spb>
    <spb s="0">
      <v>4</v>
      <v>Name</v>
      <v>LearnMoreOnLink</v>
    </spb>
    <spb s="11">
      <v>1</v>
      <v>2</v>
      <v>1</v>
      <v>3</v>
      <v>1</v>
      <v>1</v>
      <v>1</v>
      <v>4</v>
      <v>5</v>
      <v>6</v>
      <v>1</v>
      <v>1</v>
      <v>1</v>
      <v>4</v>
      <v>7</v>
      <v>8</v>
      <v>9</v>
      <v>4</v>
    </spb>
    <spb s="0">
      <v>5</v>
      <v>Name</v>
      <v>LearnMoreOnLink</v>
    </spb>
    <spb s="12">
      <v>1</v>
      <v>2</v>
      <v>1</v>
      <v>3</v>
      <v>1</v>
      <v>1</v>
      <v>1</v>
      <v>4</v>
      <v>4</v>
      <v>5</v>
      <v>6</v>
      <v>1</v>
      <v>1</v>
      <v>1</v>
      <v>4</v>
      <v>7</v>
      <v>9</v>
      <v>4</v>
    </spb>
    <spb s="0">
      <v>6</v>
      <v>Name</v>
      <v>LearnMoreOnLink</v>
    </spb>
    <spb s="13">
      <v>1</v>
      <v>2</v>
      <v>2</v>
      <v>1</v>
      <v>3</v>
      <v>1</v>
      <v>1</v>
      <v>1</v>
      <v>4</v>
      <v>5</v>
      <v>6</v>
      <v>1</v>
      <v>1</v>
      <v>1</v>
      <v>4</v>
      <v>7</v>
      <v>8</v>
      <v>9</v>
      <v>4</v>
    </spb>
    <spb s="0">
      <v>7</v>
      <v>Name</v>
      <v>LearnMoreOnLink</v>
    </spb>
    <spb s="14">
      <v>1</v>
      <v>1</v>
      <v>3</v>
      <v>1</v>
      <v>1</v>
      <v>1</v>
      <v>4</v>
      <v>5</v>
      <v>1</v>
      <v>1</v>
      <v>1</v>
      <v>7</v>
      <v>9</v>
    </spb>
    <spb s="4">
      <v>Delayed 15 minutes</v>
      <v>from previous close</v>
      <v>from previous close</v>
      <v>GMT</v>
    </spb>
    <spb s="0">
      <v>8</v>
      <v>Name</v>
      <v>LearnMoreOnLink</v>
    </spb>
    <spb s="15">
      <v>1</v>
      <v>2</v>
      <v>1</v>
      <v>3</v>
      <v>1</v>
      <v>1</v>
      <v>1</v>
      <v>4</v>
      <v>5</v>
      <v>6</v>
      <v>1</v>
      <v>1</v>
      <v>1</v>
      <v>4</v>
      <v>7</v>
      <v>9</v>
      <v>4</v>
    </spb>
  </spbData>
</supportingPropertyBags>
</file>

<file path=xl/richData/rdsupportingpropertybagstructure.xml><?xml version="1.0" encoding="utf-8"?>
<spbStructures xmlns="http://schemas.microsoft.com/office/spreadsheetml/2017/richdata2" count="16">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High" t="i"/>
    <k n="Name" t="i"/>
    <k n="Open" t="i"/>
    <k n="Price" t="i"/>
    <k n="Change" t="i"/>
    <k n="Volume" t="i"/>
    <k n="Change (%)" t="i"/>
    <k n="52 week low" t="i"/>
    <k n="52 week high" t="i"/>
    <k n="Previous close" t="i"/>
    <k n="Last trade time" t="i"/>
    <k n="`%EntityServiceId" t="i"/>
  </s>
  <s>
    <k n="Low" t="i"/>
    <k n="P/E" t="i"/>
    <k n="High" t="i"/>
    <k n="Name" t="i"/>
    <k n="Open" t="i"/>
    <k n="Price" t="i"/>
    <k n="Change" t="i"/>
    <k n="Volume" t="i"/>
    <k n="Change (%)" t="i"/>
    <k n="Market cap" t="i"/>
    <k n="52 week low" t="i"/>
    <k n="52 week high" t="i"/>
    <k n="Previous close" t="i"/>
    <k n="Volume average" t="i"/>
    <k n="Last trade time"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165" formatCode="_ [$₹-4009]\ * #,##0.00_ ;_ [$₹-4009]\ * \-#,##0.00_ ;_ [$₹-4009]\ * &quot;-&quot;??_ ;_ @_ "/>
    </x:dxf>
    <x:dxf>
      <x:numFmt numFmtId="27" formatCode="dd/mm/yyyy\ hh:mm"/>
    </x:dxf>
    <x:dxf>
      <x:numFmt numFmtId="14" formatCode="0.00%"/>
    </x:dxf>
    <x:dxf>
      <x:numFmt numFmtId="3" formatCode="#,##0"/>
    </x:dxf>
    <x:dxf>
      <x:numFmt numFmtId="164" formatCode="_ [$₹-4009]\ * #,##0_ ;_ [$₹-4009]\ * \-#,##0_ ;_ [$₹-4009]\ * &quot;-&quot;_ ;_ @_ "/>
    </x:dxf>
    <x:dxf>
      <x:numFmt numFmtId="4" formatCode="#,##0.00"/>
    </x:dxf>
    <x:dxf>
      <x:numFmt numFmtId="1" formatCode="0"/>
    </x:dxf>
  </dxfs>
  <richProperties>
    <rPr n="IsTitleField" t="b"/>
    <rPr n="IsHeroField" t="b"/>
  </richProperties>
  <richStyles>
    <rSty dxfid="1"/>
    <rSty dxfid="6"/>
    <rSty>
      <rpv i="0">1</rpv>
    </rSty>
    <rSty dxfid="4"/>
    <rSty dxfid="3"/>
    <rSty dxfid="5"/>
    <rSty dxfid="2"/>
    <rSty dxfid="7"/>
    <rSty dxfid="0"/>
    <rSty>
      <rpv i="1">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72CD2-1F9D-436A-89D8-071CBBB2A3A5}">
  <dimension ref="A1:P24"/>
  <sheetViews>
    <sheetView zoomScale="85" zoomScaleNormal="85" workbookViewId="0">
      <selection activeCell="H17" sqref="H17"/>
    </sheetView>
  </sheetViews>
  <sheetFormatPr defaultRowHeight="14.5" x14ac:dyDescent="0.35"/>
  <cols>
    <col min="1" max="1" width="10.81640625" bestFit="1" customWidth="1"/>
    <col min="2" max="2" width="10.453125" bestFit="1" customWidth="1"/>
    <col min="3" max="3" width="11.7265625" bestFit="1" customWidth="1"/>
    <col min="14" max="14" width="19.26953125" bestFit="1" customWidth="1"/>
  </cols>
  <sheetData>
    <row r="1" spans="1:16" s="2" customFormat="1" x14ac:dyDescent="0.35">
      <c r="A1" s="2" t="s">
        <v>31</v>
      </c>
      <c r="B1" s="2" t="s">
        <v>23</v>
      </c>
      <c r="C1" s="2" t="s">
        <v>24</v>
      </c>
      <c r="D1" s="2" t="s">
        <v>25</v>
      </c>
      <c r="E1" s="2" t="s">
        <v>0</v>
      </c>
      <c r="F1" s="2" t="s">
        <v>1</v>
      </c>
      <c r="G1" s="2" t="s">
        <v>2</v>
      </c>
      <c r="H1" s="2" t="s">
        <v>3</v>
      </c>
      <c r="I1" s="2" t="s">
        <v>4</v>
      </c>
      <c r="J1" s="2" t="s">
        <v>14</v>
      </c>
      <c r="K1" s="2" t="s">
        <v>16</v>
      </c>
      <c r="L1" s="2" t="s">
        <v>5</v>
      </c>
      <c r="M1" s="2" t="s">
        <v>7</v>
      </c>
      <c r="N1" s="2" t="s">
        <v>26</v>
      </c>
      <c r="O1" s="2" t="s">
        <v>21</v>
      </c>
    </row>
    <row r="2" spans="1:16" x14ac:dyDescent="0.35">
      <c r="A2" s="6">
        <v>44558</v>
      </c>
      <c r="B2" s="3" t="s">
        <v>13</v>
      </c>
      <c r="C2" s="4" t="s">
        <v>11</v>
      </c>
      <c r="D2">
        <v>930</v>
      </c>
      <c r="E2">
        <v>32</v>
      </c>
      <c r="F2">
        <v>29</v>
      </c>
      <c r="G2">
        <v>28</v>
      </c>
      <c r="H2">
        <v>241</v>
      </c>
      <c r="I2">
        <v>2</v>
      </c>
      <c r="J2">
        <v>22</v>
      </c>
      <c r="K2" s="1"/>
      <c r="L2" t="s">
        <v>6</v>
      </c>
      <c r="M2" t="s">
        <v>8</v>
      </c>
      <c r="N2" s="5" t="s">
        <v>30</v>
      </c>
    </row>
    <row r="3" spans="1:16" x14ac:dyDescent="0.35">
      <c r="A3" s="6">
        <v>44558</v>
      </c>
      <c r="B3" s="3" t="s">
        <v>13</v>
      </c>
      <c r="C3" s="4" t="s">
        <v>12</v>
      </c>
      <c r="D3">
        <v>794</v>
      </c>
      <c r="E3">
        <v>26</v>
      </c>
      <c r="F3">
        <v>31</v>
      </c>
      <c r="G3">
        <v>28</v>
      </c>
      <c r="H3">
        <v>206</v>
      </c>
      <c r="I3">
        <v>1</v>
      </c>
      <c r="J3">
        <v>27</v>
      </c>
      <c r="L3" t="s">
        <v>6</v>
      </c>
      <c r="M3" t="s">
        <v>8</v>
      </c>
      <c r="N3" s="5" t="s">
        <v>30</v>
      </c>
    </row>
    <row r="4" spans="1:16" x14ac:dyDescent="0.35">
      <c r="A4" s="6">
        <v>44558</v>
      </c>
      <c r="B4" s="3" t="s">
        <v>10</v>
      </c>
      <c r="C4" s="4" t="s">
        <v>9</v>
      </c>
      <c r="D4">
        <v>640</v>
      </c>
      <c r="E4">
        <v>6</v>
      </c>
      <c r="F4">
        <v>115</v>
      </c>
      <c r="G4">
        <v>70</v>
      </c>
      <c r="H4">
        <v>44</v>
      </c>
      <c r="I4">
        <v>10</v>
      </c>
      <c r="J4">
        <v>1</v>
      </c>
      <c r="L4" t="s">
        <v>6</v>
      </c>
      <c r="M4" t="s">
        <v>8</v>
      </c>
      <c r="N4" s="5" t="s">
        <v>30</v>
      </c>
    </row>
    <row r="5" spans="1:16" x14ac:dyDescent="0.35">
      <c r="A5" s="6">
        <v>44558</v>
      </c>
      <c r="B5" s="3" t="s">
        <v>17</v>
      </c>
      <c r="C5" s="4" t="s">
        <v>15</v>
      </c>
      <c r="D5">
        <v>718</v>
      </c>
      <c r="E5">
        <v>8</v>
      </c>
      <c r="F5">
        <v>85</v>
      </c>
      <c r="G5">
        <v>13</v>
      </c>
      <c r="H5">
        <v>158</v>
      </c>
      <c r="I5">
        <v>1</v>
      </c>
      <c r="J5">
        <v>12</v>
      </c>
      <c r="K5">
        <v>30</v>
      </c>
      <c r="L5" t="s">
        <v>6</v>
      </c>
      <c r="M5" t="s">
        <v>8</v>
      </c>
      <c r="N5" s="5" t="s">
        <v>30</v>
      </c>
    </row>
    <row r="6" spans="1:16" x14ac:dyDescent="0.35">
      <c r="A6" s="6">
        <v>44558</v>
      </c>
      <c r="B6" s="3" t="s">
        <v>18</v>
      </c>
      <c r="C6" s="4" t="s">
        <v>19</v>
      </c>
      <c r="D6">
        <v>1840</v>
      </c>
      <c r="E6">
        <v>-5</v>
      </c>
      <c r="F6">
        <v>0</v>
      </c>
      <c r="G6">
        <v>34</v>
      </c>
      <c r="H6">
        <v>301</v>
      </c>
      <c r="I6">
        <v>5</v>
      </c>
      <c r="J6">
        <v>-58</v>
      </c>
      <c r="K6">
        <v>30</v>
      </c>
      <c r="L6" t="s">
        <v>6</v>
      </c>
      <c r="M6" t="s">
        <v>8</v>
      </c>
      <c r="N6" s="5" t="s">
        <v>30</v>
      </c>
    </row>
    <row r="7" spans="1:16" x14ac:dyDescent="0.35">
      <c r="A7" s="6">
        <v>44558</v>
      </c>
      <c r="B7" s="3" t="s">
        <v>22</v>
      </c>
      <c r="C7" s="4" t="s">
        <v>20</v>
      </c>
      <c r="D7">
        <v>1866</v>
      </c>
      <c r="E7">
        <v>62</v>
      </c>
      <c r="F7">
        <v>30</v>
      </c>
      <c r="G7">
        <v>17</v>
      </c>
      <c r="H7">
        <v>545</v>
      </c>
      <c r="I7">
        <v>2</v>
      </c>
      <c r="J7">
        <v>17</v>
      </c>
      <c r="L7" t="s">
        <v>6</v>
      </c>
      <c r="M7" t="s">
        <v>8</v>
      </c>
      <c r="N7" s="5" t="s">
        <v>30</v>
      </c>
      <c r="O7">
        <v>1</v>
      </c>
    </row>
    <row r="8" spans="1:16" x14ac:dyDescent="0.35">
      <c r="A8" s="6">
        <v>44558</v>
      </c>
      <c r="B8" s="3" t="s">
        <v>27</v>
      </c>
      <c r="C8" s="4" t="s">
        <v>29</v>
      </c>
      <c r="D8">
        <v>340</v>
      </c>
      <c r="E8">
        <v>50</v>
      </c>
      <c r="F8">
        <v>7</v>
      </c>
      <c r="G8">
        <v>11</v>
      </c>
      <c r="K8">
        <v>112</v>
      </c>
      <c r="L8" t="s">
        <v>6</v>
      </c>
      <c r="M8" t="s">
        <v>8</v>
      </c>
      <c r="N8" s="5" t="s">
        <v>28</v>
      </c>
      <c r="O8">
        <v>9</v>
      </c>
      <c r="P8" t="s">
        <v>36</v>
      </c>
    </row>
    <row r="9" spans="1:16" x14ac:dyDescent="0.35">
      <c r="A9" s="6">
        <v>44558</v>
      </c>
      <c r="B9" s="3" t="s">
        <v>33</v>
      </c>
      <c r="C9" s="4" t="s">
        <v>32</v>
      </c>
      <c r="D9">
        <v>226</v>
      </c>
      <c r="E9" t="s">
        <v>35</v>
      </c>
      <c r="N9" s="5" t="s">
        <v>34</v>
      </c>
      <c r="P9" t="s">
        <v>39</v>
      </c>
    </row>
    <row r="10" spans="1:16" x14ac:dyDescent="0.35">
      <c r="A10" s="6">
        <v>44558</v>
      </c>
      <c r="B10" s="3" t="s">
        <v>37</v>
      </c>
      <c r="C10" s="4" t="s">
        <v>38</v>
      </c>
      <c r="D10">
        <v>206</v>
      </c>
      <c r="N10" s="5" t="s">
        <v>34</v>
      </c>
    </row>
    <row r="11" spans="1:16" x14ac:dyDescent="0.35">
      <c r="A11" s="6">
        <v>44558</v>
      </c>
      <c r="B11" s="3" t="s">
        <v>40</v>
      </c>
      <c r="C11" s="4" t="s">
        <v>41</v>
      </c>
      <c r="D11">
        <v>471</v>
      </c>
      <c r="E11">
        <v>-40.299999999999997</v>
      </c>
      <c r="G11">
        <v>341</v>
      </c>
      <c r="H11">
        <v>135</v>
      </c>
      <c r="I11">
        <v>2</v>
      </c>
      <c r="J11">
        <v>12</v>
      </c>
      <c r="N11" s="5" t="s">
        <v>30</v>
      </c>
    </row>
    <row r="12" spans="1:16" x14ac:dyDescent="0.35">
      <c r="A12" s="6">
        <v>44558</v>
      </c>
      <c r="B12" s="3" t="s">
        <v>40</v>
      </c>
      <c r="C12" s="4" t="s">
        <v>42</v>
      </c>
      <c r="D12">
        <v>819</v>
      </c>
      <c r="E12">
        <v>33</v>
      </c>
      <c r="F12">
        <v>23</v>
      </c>
      <c r="G12">
        <v>257</v>
      </c>
      <c r="H12">
        <v>347</v>
      </c>
      <c r="I12">
        <v>5</v>
      </c>
      <c r="J12">
        <v>14</v>
      </c>
      <c r="N12" s="5" t="s">
        <v>30</v>
      </c>
      <c r="O12">
        <v>1</v>
      </c>
      <c r="P12" t="s">
        <v>43</v>
      </c>
    </row>
    <row r="13" spans="1:16" x14ac:dyDescent="0.35">
      <c r="A13" s="6">
        <v>44558</v>
      </c>
      <c r="B13" s="3" t="s">
        <v>40</v>
      </c>
      <c r="C13" s="4" t="s">
        <v>44</v>
      </c>
      <c r="D13">
        <v>123</v>
      </c>
      <c r="E13">
        <v>-0.04</v>
      </c>
      <c r="G13">
        <v>341</v>
      </c>
      <c r="H13">
        <v>25</v>
      </c>
      <c r="I13">
        <v>1</v>
      </c>
      <c r="J13">
        <v>11</v>
      </c>
      <c r="N13" s="5" t="s">
        <v>30</v>
      </c>
      <c r="O13">
        <v>0.5</v>
      </c>
    </row>
    <row r="14" spans="1:16" x14ac:dyDescent="0.35">
      <c r="A14" s="6">
        <v>44558</v>
      </c>
      <c r="C14" s="4" t="s">
        <v>45</v>
      </c>
      <c r="D14">
        <v>164</v>
      </c>
      <c r="E14">
        <v>9.33</v>
      </c>
      <c r="F14">
        <v>17.5</v>
      </c>
      <c r="G14">
        <v>21.6</v>
      </c>
      <c r="H14">
        <v>90</v>
      </c>
      <c r="I14">
        <v>1</v>
      </c>
      <c r="J14">
        <v>9.5</v>
      </c>
      <c r="N14" s="5" t="s">
        <v>30</v>
      </c>
      <c r="O14">
        <v>1.22</v>
      </c>
    </row>
    <row r="15" spans="1:16" x14ac:dyDescent="0.35">
      <c r="A15" s="6">
        <v>44558</v>
      </c>
      <c r="C15" s="4" t="s">
        <v>46</v>
      </c>
      <c r="D15">
        <v>217</v>
      </c>
      <c r="E15">
        <v>5</v>
      </c>
      <c r="F15">
        <v>45</v>
      </c>
      <c r="G15">
        <v>45</v>
      </c>
      <c r="H15">
        <v>67</v>
      </c>
      <c r="I15">
        <v>1</v>
      </c>
      <c r="J15">
        <v>17</v>
      </c>
      <c r="N15" s="5" t="s">
        <v>30</v>
      </c>
      <c r="O15">
        <v>0.7</v>
      </c>
    </row>
    <row r="16" spans="1:16" x14ac:dyDescent="0.35">
      <c r="A16" s="6">
        <v>44558</v>
      </c>
      <c r="C16" s="4" t="s">
        <v>47</v>
      </c>
      <c r="D16">
        <v>1045</v>
      </c>
      <c r="E16">
        <v>20</v>
      </c>
      <c r="F16">
        <v>54</v>
      </c>
      <c r="G16">
        <v>21</v>
      </c>
      <c r="H16">
        <v>164</v>
      </c>
      <c r="I16">
        <v>5</v>
      </c>
      <c r="J16">
        <v>10</v>
      </c>
      <c r="N16" s="5" t="s">
        <v>30</v>
      </c>
      <c r="O16">
        <v>0.14000000000000001</v>
      </c>
    </row>
    <row r="17" spans="1:1" x14ac:dyDescent="0.35">
      <c r="A17" s="6">
        <v>44558</v>
      </c>
    </row>
    <row r="18" spans="1:1" x14ac:dyDescent="0.35">
      <c r="A18" s="6">
        <v>44558</v>
      </c>
    </row>
    <row r="19" spans="1:1" x14ac:dyDescent="0.35">
      <c r="A19" s="6">
        <v>44558</v>
      </c>
    </row>
    <row r="20" spans="1:1" x14ac:dyDescent="0.35">
      <c r="A20" s="6">
        <v>44558</v>
      </c>
    </row>
    <row r="21" spans="1:1" x14ac:dyDescent="0.35">
      <c r="A21" s="6">
        <v>44558</v>
      </c>
    </row>
    <row r="22" spans="1:1" x14ac:dyDescent="0.35">
      <c r="A22" s="6">
        <v>44558</v>
      </c>
    </row>
    <row r="23" spans="1:1" x14ac:dyDescent="0.35">
      <c r="A23" s="6">
        <v>44558</v>
      </c>
    </row>
    <row r="24" spans="1:1" x14ac:dyDescent="0.35">
      <c r="A24" s="6">
        <v>44558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21E2-D7D7-462D-8A43-422979881D9A}">
  <dimension ref="A1:N16"/>
  <sheetViews>
    <sheetView workbookViewId="0">
      <selection activeCell="G13" sqref="G13"/>
    </sheetView>
  </sheetViews>
  <sheetFormatPr defaultRowHeight="14.5" x14ac:dyDescent="0.35"/>
  <cols>
    <col min="1" max="1" width="10.08984375" bestFit="1" customWidth="1"/>
    <col min="2" max="2" width="11.7265625" bestFit="1" customWidth="1"/>
    <col min="11" max="11" width="21.36328125" bestFit="1" customWidth="1"/>
    <col min="12" max="12" width="16.26953125" bestFit="1" customWidth="1"/>
    <col min="13" max="13" width="11" bestFit="1" customWidth="1"/>
    <col min="14" max="14" width="13.3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44643</v>
      </c>
      <c r="B2" t="s">
        <v>48</v>
      </c>
      <c r="C2">
        <v>220</v>
      </c>
      <c r="D2">
        <v>11.6</v>
      </c>
      <c r="E2">
        <v>19</v>
      </c>
      <c r="F2">
        <v>16.5</v>
      </c>
      <c r="G2">
        <v>49.4</v>
      </c>
      <c r="H2">
        <v>1</v>
      </c>
      <c r="I2">
        <v>35</v>
      </c>
      <c r="J2">
        <v>5</v>
      </c>
      <c r="K2" t="s">
        <v>50</v>
      </c>
      <c r="L2" t="s">
        <v>49</v>
      </c>
      <c r="M2">
        <v>4.8899999999999997</v>
      </c>
    </row>
    <row r="3" spans="1:14" x14ac:dyDescent="0.35">
      <c r="A3" s="6">
        <f t="shared" ref="A3:A16" ca="1" si="0">TODAY()</f>
        <v>44643</v>
      </c>
      <c r="B3" t="s">
        <v>51</v>
      </c>
      <c r="C3">
        <v>968</v>
      </c>
      <c r="D3">
        <v>17.2</v>
      </c>
      <c r="E3">
        <v>54.7</v>
      </c>
      <c r="F3">
        <v>35.299999999999997</v>
      </c>
      <c r="G3">
        <v>102</v>
      </c>
      <c r="H3">
        <v>1</v>
      </c>
      <c r="I3">
        <v>21</v>
      </c>
      <c r="J3">
        <v>22</v>
      </c>
      <c r="K3" t="s">
        <v>50</v>
      </c>
      <c r="L3" t="s">
        <v>50</v>
      </c>
      <c r="M3">
        <v>0</v>
      </c>
    </row>
    <row r="4" spans="1:14" x14ac:dyDescent="0.35">
      <c r="A4" s="6">
        <f t="shared" ca="1" si="0"/>
        <v>44643</v>
      </c>
      <c r="B4" t="s">
        <v>52</v>
      </c>
      <c r="C4">
        <v>2309</v>
      </c>
      <c r="D4">
        <v>35.799999999999997</v>
      </c>
      <c r="E4">
        <v>64.2</v>
      </c>
      <c r="F4">
        <v>60.1</v>
      </c>
      <c r="G4">
        <v>203</v>
      </c>
      <c r="H4">
        <v>1</v>
      </c>
      <c r="I4">
        <v>24</v>
      </c>
      <c r="J4">
        <v>20</v>
      </c>
      <c r="K4" t="s">
        <v>50</v>
      </c>
      <c r="L4" t="s">
        <v>50</v>
      </c>
      <c r="M4">
        <v>1.34</v>
      </c>
    </row>
    <row r="5" spans="1:14" x14ac:dyDescent="0.35">
      <c r="A5" s="6">
        <f t="shared" ca="1" si="0"/>
        <v>44643</v>
      </c>
      <c r="B5" t="s">
        <v>53</v>
      </c>
      <c r="C5">
        <v>562</v>
      </c>
      <c r="D5">
        <v>10</v>
      </c>
      <c r="E5">
        <v>55</v>
      </c>
      <c r="F5">
        <v>36</v>
      </c>
      <c r="G5">
        <v>46</v>
      </c>
      <c r="H5">
        <v>1</v>
      </c>
      <c r="I5">
        <v>21</v>
      </c>
      <c r="J5">
        <v>15</v>
      </c>
      <c r="K5" t="s">
        <v>50</v>
      </c>
      <c r="L5" t="s">
        <v>50</v>
      </c>
      <c r="M5">
        <v>0.84</v>
      </c>
    </row>
    <row r="6" spans="1:14" x14ac:dyDescent="0.35">
      <c r="A6" s="6">
        <f t="shared" ca="1" si="0"/>
        <v>44643</v>
      </c>
      <c r="B6" t="s">
        <v>54</v>
      </c>
      <c r="C6">
        <v>19355</v>
      </c>
      <c r="D6">
        <v>232</v>
      </c>
      <c r="E6">
        <v>83</v>
      </c>
      <c r="F6">
        <v>59</v>
      </c>
      <c r="G6">
        <v>232</v>
      </c>
      <c r="H6">
        <v>10</v>
      </c>
      <c r="I6">
        <v>24</v>
      </c>
      <c r="J6">
        <v>20</v>
      </c>
      <c r="K6" t="s">
        <v>50</v>
      </c>
      <c r="L6" t="s">
        <v>50</v>
      </c>
      <c r="M6">
        <v>1.03</v>
      </c>
    </row>
    <row r="7" spans="1:14" x14ac:dyDescent="0.35">
      <c r="A7" s="6">
        <f t="shared" ca="1" si="0"/>
        <v>44643</v>
      </c>
      <c r="B7" t="s">
        <v>55</v>
      </c>
      <c r="C7">
        <v>2398</v>
      </c>
      <c r="D7">
        <v>83</v>
      </c>
      <c r="E7">
        <v>31</v>
      </c>
      <c r="F7">
        <v>5</v>
      </c>
      <c r="G7">
        <v>1097</v>
      </c>
      <c r="H7">
        <v>10</v>
      </c>
      <c r="I7">
        <v>16</v>
      </c>
      <c r="J7">
        <v>25</v>
      </c>
      <c r="K7" t="s">
        <v>50</v>
      </c>
      <c r="L7" t="s">
        <v>50</v>
      </c>
      <c r="M7">
        <v>0.28999999999999998</v>
      </c>
    </row>
    <row r="8" spans="1:14" x14ac:dyDescent="0.35">
      <c r="A8" s="6">
        <f t="shared" ca="1" si="0"/>
        <v>44643</v>
      </c>
      <c r="B8" t="s">
        <v>56</v>
      </c>
      <c r="C8">
        <v>4722</v>
      </c>
      <c r="D8">
        <v>21</v>
      </c>
      <c r="E8">
        <v>223</v>
      </c>
      <c r="F8">
        <v>235</v>
      </c>
      <c r="G8">
        <v>196</v>
      </c>
      <c r="H8">
        <v>10</v>
      </c>
      <c r="I8">
        <v>7.86</v>
      </c>
      <c r="J8">
        <v>40</v>
      </c>
      <c r="K8" t="s">
        <v>50</v>
      </c>
      <c r="L8" t="s">
        <v>50</v>
      </c>
      <c r="M8">
        <v>0</v>
      </c>
    </row>
    <row r="9" spans="1:14" x14ac:dyDescent="0.35">
      <c r="A9" s="6">
        <f t="shared" ca="1" si="0"/>
        <v>44643</v>
      </c>
      <c r="B9" t="s">
        <v>57</v>
      </c>
      <c r="C9">
        <v>3633</v>
      </c>
      <c r="D9">
        <v>3.86</v>
      </c>
      <c r="E9">
        <v>2021</v>
      </c>
      <c r="F9">
        <v>235</v>
      </c>
      <c r="G9">
        <v>400</v>
      </c>
      <c r="H9">
        <v>10</v>
      </c>
      <c r="I9">
        <v>11.7</v>
      </c>
      <c r="J9">
        <v>40</v>
      </c>
      <c r="K9" t="s">
        <v>50</v>
      </c>
      <c r="L9" t="s">
        <v>50</v>
      </c>
      <c r="M9">
        <v>0</v>
      </c>
    </row>
    <row r="10" spans="1:14" x14ac:dyDescent="0.35">
      <c r="A10" s="6">
        <f t="shared" ca="1" si="0"/>
        <v>44643</v>
      </c>
      <c r="B10" t="s">
        <v>58</v>
      </c>
      <c r="C10">
        <v>334</v>
      </c>
      <c r="D10">
        <v>-14.4</v>
      </c>
      <c r="F10">
        <v>228</v>
      </c>
      <c r="G10">
        <v>1.26</v>
      </c>
      <c r="H10">
        <v>5</v>
      </c>
      <c r="I10">
        <v>8.6999999999999993</v>
      </c>
      <c r="J10">
        <v>5</v>
      </c>
      <c r="K10" t="s">
        <v>50</v>
      </c>
      <c r="L10" t="s">
        <v>50</v>
      </c>
      <c r="M10">
        <v>0</v>
      </c>
    </row>
    <row r="11" spans="1:14" x14ac:dyDescent="0.35">
      <c r="A11" s="6">
        <f t="shared" ca="1" si="0"/>
        <v>44643</v>
      </c>
    </row>
    <row r="12" spans="1:14" x14ac:dyDescent="0.35">
      <c r="A12" s="6">
        <f t="shared" ca="1" si="0"/>
        <v>44643</v>
      </c>
    </row>
    <row r="13" spans="1:14" x14ac:dyDescent="0.35">
      <c r="A13" s="6">
        <f t="shared" ca="1" si="0"/>
        <v>44643</v>
      </c>
    </row>
    <row r="14" spans="1:14" x14ac:dyDescent="0.35">
      <c r="A14" s="6">
        <f t="shared" ca="1" si="0"/>
        <v>44643</v>
      </c>
    </row>
    <row r="15" spans="1:14" x14ac:dyDescent="0.35">
      <c r="A15" s="6">
        <f t="shared" ca="1" si="0"/>
        <v>44643</v>
      </c>
    </row>
    <row r="16" spans="1:14" x14ac:dyDescent="0.35">
      <c r="A16" s="6">
        <f t="shared" ca="1" si="0"/>
        <v>44643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225FF-B9AF-4C7C-94DA-C22838A132E8}">
  <dimension ref="A1:N16"/>
  <sheetViews>
    <sheetView workbookViewId="0">
      <selection activeCell="F14" sqref="F14"/>
    </sheetView>
  </sheetViews>
  <sheetFormatPr defaultRowHeight="14.5" x14ac:dyDescent="0.35"/>
  <cols>
    <col min="1" max="1" width="10.08984375" bestFit="1" customWidth="1"/>
    <col min="2" max="2" width="12.5429687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44643</v>
      </c>
      <c r="B2" t="s">
        <v>59</v>
      </c>
      <c r="C2">
        <v>461</v>
      </c>
      <c r="D2">
        <v>32</v>
      </c>
      <c r="E2">
        <v>12</v>
      </c>
      <c r="F2">
        <v>9.5</v>
      </c>
      <c r="G2">
        <v>309</v>
      </c>
      <c r="H2">
        <v>1</v>
      </c>
      <c r="I2">
        <v>31</v>
      </c>
      <c r="J2">
        <v>13</v>
      </c>
      <c r="K2" t="s">
        <v>50</v>
      </c>
      <c r="L2" t="s">
        <v>50</v>
      </c>
      <c r="M2">
        <v>0.87</v>
      </c>
    </row>
    <row r="3" spans="1:14" x14ac:dyDescent="0.35">
      <c r="A3" s="6">
        <f t="shared" ref="A3:A16" ca="1" si="0">TODAY()</f>
        <v>44643</v>
      </c>
      <c r="B3" t="s">
        <v>60</v>
      </c>
      <c r="C3">
        <v>47.9</v>
      </c>
      <c r="D3">
        <v>2</v>
      </c>
      <c r="E3">
        <v>23</v>
      </c>
      <c r="F3">
        <v>17</v>
      </c>
      <c r="G3">
        <v>35</v>
      </c>
      <c r="H3">
        <v>10</v>
      </c>
      <c r="I3">
        <v>41</v>
      </c>
      <c r="J3">
        <v>-7</v>
      </c>
      <c r="K3" t="s">
        <v>61</v>
      </c>
      <c r="L3" t="s">
        <v>50</v>
      </c>
      <c r="M3">
        <v>0</v>
      </c>
    </row>
    <row r="4" spans="1:14" x14ac:dyDescent="0.35">
      <c r="A4" s="6">
        <f t="shared" ca="1" si="0"/>
        <v>44643</v>
      </c>
      <c r="B4" t="s">
        <v>62</v>
      </c>
      <c r="C4">
        <v>80.900000000000006</v>
      </c>
      <c r="D4">
        <v>7.6</v>
      </c>
      <c r="E4">
        <v>11</v>
      </c>
      <c r="F4">
        <v>9.56</v>
      </c>
      <c r="G4">
        <v>159</v>
      </c>
      <c r="H4">
        <v>2</v>
      </c>
      <c r="I4">
        <v>44</v>
      </c>
      <c r="J4">
        <v>-12</v>
      </c>
      <c r="K4" t="s">
        <v>61</v>
      </c>
      <c r="L4" t="s">
        <v>50</v>
      </c>
      <c r="M4">
        <v>0</v>
      </c>
    </row>
    <row r="5" spans="1:14" x14ac:dyDescent="0.35">
      <c r="A5" s="6">
        <f t="shared" ca="1" si="0"/>
        <v>44643</v>
      </c>
      <c r="B5" t="s">
        <v>63</v>
      </c>
      <c r="C5">
        <v>37.299999999999997</v>
      </c>
      <c r="D5">
        <v>3.45</v>
      </c>
      <c r="E5">
        <v>11</v>
      </c>
      <c r="F5">
        <v>9.56</v>
      </c>
      <c r="G5">
        <v>84</v>
      </c>
      <c r="H5">
        <v>2</v>
      </c>
      <c r="I5">
        <v>49.5</v>
      </c>
      <c r="J5">
        <v>-20</v>
      </c>
      <c r="K5" t="s">
        <v>61</v>
      </c>
      <c r="L5" t="s">
        <v>50</v>
      </c>
      <c r="M5">
        <v>0</v>
      </c>
    </row>
    <row r="6" spans="1:14" x14ac:dyDescent="0.35">
      <c r="A6" s="6">
        <f t="shared" ca="1" si="0"/>
        <v>44643</v>
      </c>
      <c r="B6" t="s">
        <v>64</v>
      </c>
      <c r="C6">
        <v>20.6</v>
      </c>
      <c r="D6">
        <v>0.71</v>
      </c>
      <c r="E6">
        <v>30.8</v>
      </c>
      <c r="F6">
        <v>9.56</v>
      </c>
      <c r="G6">
        <v>8.9600000000000009</v>
      </c>
      <c r="H6">
        <v>10</v>
      </c>
      <c r="I6">
        <v>36.5</v>
      </c>
      <c r="J6">
        <v>11</v>
      </c>
      <c r="K6" t="s">
        <v>50</v>
      </c>
      <c r="L6" t="s">
        <v>50</v>
      </c>
      <c r="M6">
        <v>0</v>
      </c>
    </row>
    <row r="7" spans="1:14" x14ac:dyDescent="0.35">
      <c r="A7" s="6">
        <f t="shared" ca="1" si="0"/>
        <v>44643</v>
      </c>
      <c r="B7" t="s">
        <v>65</v>
      </c>
      <c r="C7">
        <v>736</v>
      </c>
      <c r="D7">
        <v>30.7</v>
      </c>
      <c r="E7">
        <v>24.1</v>
      </c>
      <c r="F7">
        <v>17.399999999999999</v>
      </c>
      <c r="G7">
        <v>227</v>
      </c>
      <c r="H7">
        <v>2</v>
      </c>
      <c r="I7">
        <v>1.75</v>
      </c>
      <c r="J7">
        <v>26</v>
      </c>
      <c r="K7" t="s">
        <v>50</v>
      </c>
      <c r="L7" t="s">
        <v>50</v>
      </c>
      <c r="M7">
        <v>0.27</v>
      </c>
    </row>
    <row r="8" spans="1:14" x14ac:dyDescent="0.35">
      <c r="A8" s="6">
        <f t="shared" ca="1" si="0"/>
        <v>44643</v>
      </c>
      <c r="B8" t="s">
        <v>66</v>
      </c>
      <c r="C8">
        <v>1775</v>
      </c>
      <c r="D8">
        <v>50.4</v>
      </c>
      <c r="E8">
        <v>35.299999999999997</v>
      </c>
      <c r="F8">
        <v>17.399999999999999</v>
      </c>
      <c r="G8">
        <v>428</v>
      </c>
      <c r="H8">
        <v>5</v>
      </c>
      <c r="I8">
        <v>-4.22</v>
      </c>
      <c r="J8">
        <v>15</v>
      </c>
      <c r="K8" t="s">
        <v>50</v>
      </c>
      <c r="L8" t="s">
        <v>50</v>
      </c>
      <c r="M8">
        <v>0.05</v>
      </c>
    </row>
    <row r="9" spans="1:14" x14ac:dyDescent="0.35">
      <c r="A9" s="6">
        <f t="shared" ca="1" si="0"/>
        <v>44643</v>
      </c>
      <c r="B9" t="s">
        <v>67</v>
      </c>
      <c r="C9">
        <v>16101</v>
      </c>
      <c r="D9">
        <v>265</v>
      </c>
      <c r="E9">
        <v>60.6</v>
      </c>
      <c r="F9">
        <v>25.6</v>
      </c>
      <c r="G9">
        <v>2381</v>
      </c>
      <c r="H9">
        <v>5</v>
      </c>
      <c r="I9">
        <v>30.3</v>
      </c>
      <c r="J9">
        <v>41</v>
      </c>
      <c r="K9" t="s">
        <v>50</v>
      </c>
      <c r="L9" t="s">
        <v>50</v>
      </c>
      <c r="M9">
        <v>0.02</v>
      </c>
    </row>
    <row r="10" spans="1:14" x14ac:dyDescent="0.35">
      <c r="A10" s="6">
        <f t="shared" ca="1" si="0"/>
        <v>44643</v>
      </c>
    </row>
    <row r="11" spans="1:14" x14ac:dyDescent="0.35">
      <c r="A11" s="6">
        <f t="shared" ca="1" si="0"/>
        <v>44643</v>
      </c>
    </row>
    <row r="12" spans="1:14" x14ac:dyDescent="0.35">
      <c r="A12" s="6">
        <f t="shared" ca="1" si="0"/>
        <v>44643</v>
      </c>
    </row>
    <row r="13" spans="1:14" x14ac:dyDescent="0.35">
      <c r="A13" s="6">
        <f t="shared" ca="1" si="0"/>
        <v>44643</v>
      </c>
    </row>
    <row r="14" spans="1:14" x14ac:dyDescent="0.35">
      <c r="A14" s="6">
        <f t="shared" ca="1" si="0"/>
        <v>44643</v>
      </c>
    </row>
    <row r="15" spans="1:14" x14ac:dyDescent="0.35">
      <c r="A15" s="6">
        <f t="shared" ca="1" si="0"/>
        <v>44643</v>
      </c>
    </row>
    <row r="16" spans="1:14" x14ac:dyDescent="0.35">
      <c r="A16" s="6">
        <f t="shared" ca="1" si="0"/>
        <v>44643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6601-78AB-49FB-9FE5-02006E2521EC}">
  <dimension ref="A1:N18"/>
  <sheetViews>
    <sheetView workbookViewId="0">
      <selection activeCell="B7" sqref="B7"/>
    </sheetView>
  </sheetViews>
  <sheetFormatPr defaultRowHeight="14.5" x14ac:dyDescent="0.35"/>
  <cols>
    <col min="1" max="1" width="10.08984375" bestFit="1" customWidth="1"/>
    <col min="2" max="2" width="11.453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44643</v>
      </c>
      <c r="B2" t="s">
        <v>68</v>
      </c>
      <c r="C2">
        <v>222</v>
      </c>
      <c r="D2">
        <v>4.55</v>
      </c>
      <c r="E2">
        <v>45.3</v>
      </c>
      <c r="F2">
        <v>45.4</v>
      </c>
      <c r="G2">
        <v>66.599999999999994</v>
      </c>
      <c r="H2">
        <v>1</v>
      </c>
      <c r="I2">
        <v>17.5</v>
      </c>
      <c r="J2">
        <v>42</v>
      </c>
      <c r="K2" t="s">
        <v>50</v>
      </c>
      <c r="L2" t="s">
        <v>50</v>
      </c>
      <c r="M2">
        <v>0.7</v>
      </c>
    </row>
    <row r="3" spans="1:14" x14ac:dyDescent="0.35">
      <c r="A3" s="6">
        <f t="shared" ref="A3:A18" ca="1" si="0">TODAY()</f>
        <v>44643</v>
      </c>
      <c r="B3" t="s">
        <v>69</v>
      </c>
      <c r="C3">
        <v>310</v>
      </c>
      <c r="D3">
        <v>4.6900000000000004</v>
      </c>
      <c r="E3">
        <v>66.3</v>
      </c>
      <c r="F3">
        <v>45.4</v>
      </c>
      <c r="G3">
        <v>96</v>
      </c>
      <c r="H3">
        <v>10</v>
      </c>
      <c r="I3">
        <v>41</v>
      </c>
      <c r="J3">
        <v>40</v>
      </c>
      <c r="K3" t="s">
        <v>50</v>
      </c>
      <c r="L3" t="s">
        <v>50</v>
      </c>
      <c r="M3">
        <v>0.65</v>
      </c>
    </row>
    <row r="4" spans="1:14" x14ac:dyDescent="0.35">
      <c r="A4" s="6">
        <f t="shared" ca="1" si="0"/>
        <v>44643</v>
      </c>
      <c r="B4" t="s">
        <v>70</v>
      </c>
      <c r="C4">
        <v>596</v>
      </c>
      <c r="D4">
        <v>11.6</v>
      </c>
      <c r="E4">
        <v>51.4</v>
      </c>
      <c r="F4">
        <v>43</v>
      </c>
      <c r="G4">
        <v>53</v>
      </c>
      <c r="H4">
        <v>1</v>
      </c>
      <c r="I4">
        <v>43.1</v>
      </c>
      <c r="J4">
        <v>70</v>
      </c>
      <c r="K4" t="s">
        <v>50</v>
      </c>
      <c r="L4" t="s">
        <v>50</v>
      </c>
      <c r="M4">
        <v>0</v>
      </c>
    </row>
    <row r="5" spans="1:14" x14ac:dyDescent="0.35">
      <c r="A5" s="6">
        <f t="shared" ca="1" si="0"/>
        <v>44643</v>
      </c>
      <c r="B5" t="s">
        <v>71</v>
      </c>
      <c r="C5">
        <v>326</v>
      </c>
      <c r="D5">
        <v>7.4</v>
      </c>
      <c r="E5">
        <v>44.1</v>
      </c>
      <c r="F5">
        <v>24.2</v>
      </c>
      <c r="G5">
        <v>44.6</v>
      </c>
      <c r="H5">
        <v>2</v>
      </c>
      <c r="I5">
        <v>10.4</v>
      </c>
      <c r="J5">
        <v>32</v>
      </c>
      <c r="K5" t="s">
        <v>50</v>
      </c>
      <c r="L5" t="s">
        <v>50</v>
      </c>
      <c r="M5">
        <v>0.66</v>
      </c>
    </row>
    <row r="6" spans="1:14" x14ac:dyDescent="0.35">
      <c r="A6" s="6">
        <f t="shared" ca="1" si="0"/>
        <v>44643</v>
      </c>
      <c r="B6" t="s">
        <v>72</v>
      </c>
      <c r="C6">
        <v>101</v>
      </c>
      <c r="D6">
        <v>-0.59</v>
      </c>
      <c r="F6">
        <v>45.4</v>
      </c>
      <c r="G6">
        <v>34.700000000000003</v>
      </c>
      <c r="H6">
        <v>10</v>
      </c>
      <c r="I6">
        <v>24.2</v>
      </c>
      <c r="J6">
        <v>26</v>
      </c>
      <c r="K6" t="s">
        <v>50</v>
      </c>
      <c r="L6" t="s">
        <v>50</v>
      </c>
      <c r="M6">
        <v>0</v>
      </c>
    </row>
    <row r="7" spans="1:14" x14ac:dyDescent="0.35">
      <c r="A7" s="6">
        <f t="shared" ca="1" si="0"/>
        <v>44643</v>
      </c>
      <c r="B7" t="s">
        <v>55</v>
      </c>
      <c r="C7">
        <v>2398</v>
      </c>
      <c r="D7">
        <v>82.5</v>
      </c>
      <c r="E7">
        <v>31.4</v>
      </c>
      <c r="F7">
        <v>5</v>
      </c>
      <c r="G7">
        <v>1097</v>
      </c>
      <c r="H7">
        <v>10</v>
      </c>
      <c r="I7">
        <v>16.399999999999999</v>
      </c>
      <c r="J7">
        <v>30</v>
      </c>
      <c r="K7" t="s">
        <v>50</v>
      </c>
      <c r="L7" t="s">
        <v>50</v>
      </c>
      <c r="M7">
        <v>0.28999999999999998</v>
      </c>
    </row>
    <row r="8" spans="1:14" x14ac:dyDescent="0.35">
      <c r="A8" s="6">
        <f t="shared" ca="1" si="0"/>
        <v>44643</v>
      </c>
    </row>
    <row r="9" spans="1:14" x14ac:dyDescent="0.35">
      <c r="A9" s="6">
        <f t="shared" ca="1" si="0"/>
        <v>44643</v>
      </c>
    </row>
    <row r="10" spans="1:14" x14ac:dyDescent="0.35">
      <c r="A10" s="6">
        <f t="shared" ca="1" si="0"/>
        <v>44643</v>
      </c>
    </row>
    <row r="11" spans="1:14" x14ac:dyDescent="0.35">
      <c r="A11" s="6">
        <f t="shared" ca="1" si="0"/>
        <v>44643</v>
      </c>
    </row>
    <row r="12" spans="1:14" x14ac:dyDescent="0.35">
      <c r="A12" s="6">
        <f t="shared" ca="1" si="0"/>
        <v>44643</v>
      </c>
    </row>
    <row r="13" spans="1:14" x14ac:dyDescent="0.35">
      <c r="A13" s="6">
        <f t="shared" ca="1" si="0"/>
        <v>44643</v>
      </c>
    </row>
    <row r="14" spans="1:14" x14ac:dyDescent="0.35">
      <c r="A14" s="6">
        <f t="shared" ca="1" si="0"/>
        <v>44643</v>
      </c>
    </row>
    <row r="15" spans="1:14" x14ac:dyDescent="0.35">
      <c r="A15" s="6">
        <f t="shared" ca="1" si="0"/>
        <v>44643</v>
      </c>
    </row>
    <row r="16" spans="1:14" x14ac:dyDescent="0.35">
      <c r="A16" s="6">
        <f t="shared" ca="1" si="0"/>
        <v>44643</v>
      </c>
    </row>
    <row r="17" spans="1:1" x14ac:dyDescent="0.35">
      <c r="A17" s="6">
        <f t="shared" ca="1" si="0"/>
        <v>44643</v>
      </c>
    </row>
    <row r="18" spans="1:1" x14ac:dyDescent="0.35">
      <c r="A18" s="6">
        <f t="shared" ca="1" si="0"/>
        <v>44643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CED5-4B2A-484F-9A9B-39E808B99801}">
  <dimension ref="A1:N18"/>
  <sheetViews>
    <sheetView workbookViewId="0">
      <selection activeCell="B13" sqref="B13"/>
    </sheetView>
  </sheetViews>
  <sheetFormatPr defaultRowHeight="14.5" x14ac:dyDescent="0.35"/>
  <cols>
    <col min="1" max="1" width="10.08984375" bestFit="1" customWidth="1"/>
    <col min="2" max="2" width="12.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44643</v>
      </c>
      <c r="B2" t="s">
        <v>41</v>
      </c>
      <c r="C2">
        <v>480</v>
      </c>
      <c r="D2">
        <v>-40.299999999999997</v>
      </c>
      <c r="F2">
        <v>341</v>
      </c>
      <c r="G2">
        <v>135</v>
      </c>
      <c r="H2">
        <v>2</v>
      </c>
      <c r="I2">
        <v>11.9</v>
      </c>
      <c r="J2">
        <v>11</v>
      </c>
      <c r="K2" t="s">
        <v>50</v>
      </c>
      <c r="L2" t="s">
        <v>50</v>
      </c>
      <c r="M2">
        <v>0</v>
      </c>
    </row>
    <row r="3" spans="1:14" x14ac:dyDescent="0.35">
      <c r="A3" s="6">
        <f t="shared" ref="A3:A18" ca="1" si="0">TODAY()</f>
        <v>44643</v>
      </c>
      <c r="B3" t="s">
        <v>42</v>
      </c>
      <c r="C3">
        <v>839</v>
      </c>
      <c r="D3">
        <v>33.200000000000003</v>
      </c>
      <c r="E3">
        <v>24.3</v>
      </c>
      <c r="F3">
        <v>255</v>
      </c>
      <c r="G3">
        <v>347</v>
      </c>
      <c r="H3">
        <v>5</v>
      </c>
      <c r="I3">
        <v>14.1</v>
      </c>
      <c r="J3">
        <v>7</v>
      </c>
      <c r="K3" t="s">
        <v>50</v>
      </c>
      <c r="L3" t="s">
        <v>50</v>
      </c>
      <c r="M3">
        <v>1.04</v>
      </c>
    </row>
    <row r="4" spans="1:14" x14ac:dyDescent="0.35">
      <c r="A4" s="6">
        <f t="shared" ca="1" si="0"/>
        <v>44643</v>
      </c>
      <c r="B4" t="s">
        <v>73</v>
      </c>
      <c r="C4">
        <v>3176</v>
      </c>
      <c r="D4">
        <v>224</v>
      </c>
      <c r="E4">
        <v>15.2</v>
      </c>
      <c r="F4">
        <v>15.2</v>
      </c>
      <c r="G4">
        <v>934</v>
      </c>
      <c r="H4">
        <v>10</v>
      </c>
      <c r="I4">
        <v>17.100000000000001</v>
      </c>
      <c r="J4">
        <v>4</v>
      </c>
      <c r="K4" t="s">
        <v>50</v>
      </c>
      <c r="L4" t="s">
        <v>50</v>
      </c>
      <c r="M4">
        <v>4.41</v>
      </c>
    </row>
    <row r="5" spans="1:14" x14ac:dyDescent="0.35">
      <c r="A5" s="6">
        <f t="shared" ca="1" si="0"/>
        <v>44643</v>
      </c>
      <c r="B5" t="s">
        <v>74</v>
      </c>
      <c r="C5">
        <v>611</v>
      </c>
      <c r="D5">
        <v>17.399999999999999</v>
      </c>
      <c r="E5">
        <v>34.4</v>
      </c>
      <c r="F5">
        <v>30.6</v>
      </c>
      <c r="G5">
        <v>84.5</v>
      </c>
      <c r="H5">
        <v>1</v>
      </c>
      <c r="I5">
        <v>11.5</v>
      </c>
      <c r="J5">
        <v>11</v>
      </c>
      <c r="K5" t="s">
        <v>50</v>
      </c>
      <c r="L5" t="s">
        <v>50</v>
      </c>
      <c r="M5">
        <v>0.56999999999999995</v>
      </c>
    </row>
    <row r="6" spans="1:14" x14ac:dyDescent="0.35">
      <c r="A6" s="6">
        <f t="shared" ca="1" si="0"/>
        <v>44643</v>
      </c>
      <c r="B6" t="s">
        <v>75</v>
      </c>
      <c r="C6">
        <v>908</v>
      </c>
      <c r="D6">
        <v>26.8</v>
      </c>
      <c r="E6">
        <v>33.6</v>
      </c>
      <c r="F6">
        <v>28.5</v>
      </c>
      <c r="G6">
        <v>642</v>
      </c>
      <c r="H6">
        <v>10</v>
      </c>
      <c r="I6">
        <v>16.5</v>
      </c>
      <c r="J6">
        <v>33</v>
      </c>
      <c r="K6" t="s">
        <v>50</v>
      </c>
      <c r="L6" t="s">
        <v>50</v>
      </c>
      <c r="M6">
        <v>1.1000000000000001</v>
      </c>
    </row>
    <row r="7" spans="1:14" x14ac:dyDescent="0.35">
      <c r="A7" s="6">
        <f t="shared" ca="1" si="0"/>
        <v>44643</v>
      </c>
      <c r="B7" t="s">
        <v>76</v>
      </c>
      <c r="C7">
        <v>618</v>
      </c>
      <c r="D7">
        <v>38.1</v>
      </c>
      <c r="E7">
        <v>16.2</v>
      </c>
      <c r="F7">
        <v>22.6</v>
      </c>
      <c r="G7">
        <v>256</v>
      </c>
      <c r="H7">
        <v>1</v>
      </c>
      <c r="I7">
        <v>13.9</v>
      </c>
      <c r="J7">
        <v>-7</v>
      </c>
      <c r="K7" t="s">
        <v>61</v>
      </c>
      <c r="L7" t="s">
        <v>61</v>
      </c>
      <c r="M7">
        <v>1.78</v>
      </c>
    </row>
    <row r="8" spans="1:14" x14ac:dyDescent="0.35">
      <c r="A8" s="6">
        <f t="shared" ca="1" si="0"/>
        <v>44643</v>
      </c>
      <c r="B8" t="s">
        <v>45</v>
      </c>
      <c r="C8">
        <v>168</v>
      </c>
      <c r="D8">
        <v>9.33</v>
      </c>
      <c r="E8">
        <v>18.100000000000001</v>
      </c>
      <c r="F8">
        <v>22.6</v>
      </c>
      <c r="G8">
        <v>89.6</v>
      </c>
      <c r="H8">
        <v>1</v>
      </c>
      <c r="I8">
        <v>9.5299999999999994</v>
      </c>
      <c r="J8">
        <v>-1</v>
      </c>
      <c r="K8" t="s">
        <v>61</v>
      </c>
      <c r="L8" t="s">
        <v>50</v>
      </c>
      <c r="M8">
        <v>1.19</v>
      </c>
    </row>
    <row r="9" spans="1:14" x14ac:dyDescent="0.35">
      <c r="A9" s="6">
        <f t="shared" ca="1" si="0"/>
        <v>44643</v>
      </c>
      <c r="B9" t="s">
        <v>77</v>
      </c>
      <c r="C9">
        <v>5529</v>
      </c>
      <c r="D9">
        <v>73.7</v>
      </c>
      <c r="E9">
        <v>75</v>
      </c>
      <c r="F9">
        <v>35.1</v>
      </c>
      <c r="G9">
        <v>207</v>
      </c>
      <c r="H9">
        <v>10</v>
      </c>
      <c r="I9">
        <v>30</v>
      </c>
      <c r="J9">
        <v>52</v>
      </c>
      <c r="K9" t="s">
        <v>50</v>
      </c>
      <c r="L9" t="s">
        <v>50</v>
      </c>
      <c r="M9">
        <v>0.43</v>
      </c>
    </row>
    <row r="10" spans="1:14" x14ac:dyDescent="0.35">
      <c r="A10" s="6">
        <f t="shared" ca="1" si="0"/>
        <v>44643</v>
      </c>
      <c r="B10" t="s">
        <v>78</v>
      </c>
      <c r="C10">
        <v>581</v>
      </c>
      <c r="D10">
        <v>8</v>
      </c>
      <c r="E10">
        <v>72.8</v>
      </c>
      <c r="F10">
        <v>35.1</v>
      </c>
      <c r="G10">
        <v>46.5</v>
      </c>
      <c r="H10">
        <v>10</v>
      </c>
      <c r="I10">
        <v>16.8</v>
      </c>
      <c r="J10">
        <v>50</v>
      </c>
      <c r="K10" t="s">
        <v>50</v>
      </c>
      <c r="L10" t="s">
        <v>50</v>
      </c>
      <c r="M10">
        <v>0.26</v>
      </c>
    </row>
    <row r="11" spans="1:14" x14ac:dyDescent="0.35">
      <c r="A11" s="6">
        <f t="shared" ca="1" si="0"/>
        <v>44643</v>
      </c>
    </row>
    <row r="12" spans="1:14" x14ac:dyDescent="0.35">
      <c r="A12" s="6">
        <f t="shared" ca="1" si="0"/>
        <v>44643</v>
      </c>
    </row>
    <row r="13" spans="1:14" x14ac:dyDescent="0.35">
      <c r="A13" s="6">
        <f t="shared" ca="1" si="0"/>
        <v>44643</v>
      </c>
    </row>
    <row r="14" spans="1:14" x14ac:dyDescent="0.35">
      <c r="A14" s="6">
        <f t="shared" ca="1" si="0"/>
        <v>44643</v>
      </c>
    </row>
    <row r="15" spans="1:14" x14ac:dyDescent="0.35">
      <c r="A15" s="6">
        <f t="shared" ca="1" si="0"/>
        <v>44643</v>
      </c>
    </row>
    <row r="16" spans="1:14" x14ac:dyDescent="0.35">
      <c r="A16" s="6">
        <f t="shared" ca="1" si="0"/>
        <v>44643</v>
      </c>
    </row>
    <row r="17" spans="1:1" x14ac:dyDescent="0.35">
      <c r="A17" s="6">
        <f t="shared" ca="1" si="0"/>
        <v>44643</v>
      </c>
    </row>
    <row r="18" spans="1:1" x14ac:dyDescent="0.35">
      <c r="A18" s="6">
        <f t="shared" ca="1" si="0"/>
        <v>44643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C7A9D-86A0-4ADE-9F01-9037F9312145}">
  <dimension ref="A1:N18"/>
  <sheetViews>
    <sheetView workbookViewId="0">
      <selection activeCell="B3" sqref="B3"/>
    </sheetView>
  </sheetViews>
  <sheetFormatPr defaultRowHeight="14.5" x14ac:dyDescent="0.35"/>
  <cols>
    <col min="1" max="1" width="10.08984375" bestFit="1" customWidth="1"/>
    <col min="2" max="2" width="11.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44643</v>
      </c>
      <c r="B2" t="s">
        <v>79</v>
      </c>
      <c r="C2">
        <v>4525</v>
      </c>
      <c r="D2">
        <v>80.5</v>
      </c>
      <c r="E2">
        <v>56.2</v>
      </c>
      <c r="F2">
        <v>19.899999999999999</v>
      </c>
      <c r="G2">
        <v>374</v>
      </c>
      <c r="H2">
        <v>2</v>
      </c>
      <c r="I2">
        <v>41.4</v>
      </c>
      <c r="J2">
        <v>42</v>
      </c>
      <c r="K2" t="s">
        <v>50</v>
      </c>
      <c r="L2" t="s">
        <v>50</v>
      </c>
      <c r="M2">
        <v>0.44</v>
      </c>
    </row>
    <row r="3" spans="1:14" x14ac:dyDescent="0.35">
      <c r="A3" s="6">
        <f t="shared" ref="A3:A18" ca="1" si="0">TODAY()</f>
        <v>44643</v>
      </c>
      <c r="B3" t="s">
        <v>80</v>
      </c>
      <c r="C3">
        <v>4744</v>
      </c>
      <c r="D3">
        <v>118</v>
      </c>
      <c r="E3">
        <v>40.299999999999997</v>
      </c>
      <c r="F3">
        <v>28.6</v>
      </c>
      <c r="G3">
        <v>1114</v>
      </c>
      <c r="H3">
        <v>5</v>
      </c>
      <c r="I3">
        <v>18</v>
      </c>
      <c r="J3">
        <v>20</v>
      </c>
      <c r="K3" t="s">
        <v>50</v>
      </c>
      <c r="L3" t="s">
        <v>50</v>
      </c>
      <c r="M3">
        <v>0.53</v>
      </c>
    </row>
    <row r="4" spans="1:14" x14ac:dyDescent="0.35">
      <c r="A4" s="6">
        <f t="shared" ca="1" si="0"/>
        <v>44643</v>
      </c>
      <c r="B4" t="s">
        <v>81</v>
      </c>
      <c r="C4">
        <v>519</v>
      </c>
      <c r="D4">
        <v>22.7</v>
      </c>
      <c r="E4">
        <v>22.8</v>
      </c>
      <c r="F4">
        <v>19.899999999999999</v>
      </c>
      <c r="G4">
        <v>101</v>
      </c>
      <c r="H4">
        <v>10</v>
      </c>
      <c r="I4">
        <v>15.5</v>
      </c>
      <c r="J4">
        <v>28</v>
      </c>
      <c r="K4" t="s">
        <v>50</v>
      </c>
      <c r="L4" t="s">
        <v>50</v>
      </c>
      <c r="M4">
        <v>0.48</v>
      </c>
    </row>
    <row r="5" spans="1:14" x14ac:dyDescent="0.35">
      <c r="A5" s="6">
        <f t="shared" ca="1" si="0"/>
        <v>44643</v>
      </c>
      <c r="B5" t="s">
        <v>82</v>
      </c>
      <c r="C5">
        <v>3564</v>
      </c>
      <c r="D5">
        <v>48.5</v>
      </c>
      <c r="E5">
        <v>73.5</v>
      </c>
      <c r="F5">
        <v>35.5</v>
      </c>
      <c r="G5">
        <v>165</v>
      </c>
      <c r="H5">
        <v>10</v>
      </c>
      <c r="I5">
        <v>29.7</v>
      </c>
      <c r="J5">
        <v>40</v>
      </c>
      <c r="K5" t="s">
        <v>50</v>
      </c>
      <c r="L5" t="s">
        <v>50</v>
      </c>
      <c r="M5">
        <v>0.56000000000000005</v>
      </c>
    </row>
    <row r="6" spans="1:14" x14ac:dyDescent="0.35">
      <c r="A6" s="6">
        <f t="shared" ca="1" si="0"/>
        <v>44643</v>
      </c>
      <c r="B6" t="s">
        <v>83</v>
      </c>
      <c r="C6">
        <v>3875</v>
      </c>
      <c r="E6">
        <v>57.2</v>
      </c>
      <c r="F6">
        <v>19.899999999999999</v>
      </c>
      <c r="G6">
        <v>401</v>
      </c>
      <c r="H6">
        <v>1</v>
      </c>
      <c r="I6">
        <v>35.299999999999997</v>
      </c>
      <c r="J6">
        <v>62</v>
      </c>
      <c r="K6" t="s">
        <v>50</v>
      </c>
      <c r="L6" t="s">
        <v>50</v>
      </c>
      <c r="M6">
        <v>0</v>
      </c>
    </row>
    <row r="7" spans="1:14" x14ac:dyDescent="0.35">
      <c r="A7" s="6">
        <f t="shared" ca="1" si="0"/>
        <v>44643</v>
      </c>
      <c r="B7" t="s">
        <v>9</v>
      </c>
      <c r="C7">
        <v>642</v>
      </c>
      <c r="D7">
        <v>5.74</v>
      </c>
      <c r="E7">
        <v>112</v>
      </c>
      <c r="F7">
        <v>70.2</v>
      </c>
      <c r="G7">
        <v>44</v>
      </c>
      <c r="H7">
        <v>10</v>
      </c>
      <c r="I7">
        <v>1.03</v>
      </c>
      <c r="J7">
        <v>18</v>
      </c>
      <c r="K7" t="s">
        <v>50</v>
      </c>
      <c r="L7" t="s">
        <v>50</v>
      </c>
      <c r="M7">
        <v>0.31</v>
      </c>
    </row>
    <row r="8" spans="1:14" x14ac:dyDescent="0.35">
      <c r="A8" s="6">
        <f t="shared" ca="1" si="0"/>
        <v>44643</v>
      </c>
      <c r="B8" t="s">
        <v>84</v>
      </c>
      <c r="C8">
        <v>1178</v>
      </c>
      <c r="D8">
        <v>12.4</v>
      </c>
      <c r="E8">
        <v>95.4</v>
      </c>
      <c r="F8">
        <v>70.2</v>
      </c>
      <c r="G8">
        <v>109</v>
      </c>
      <c r="H8">
        <v>10</v>
      </c>
      <c r="I8">
        <v>0.54</v>
      </c>
      <c r="J8">
        <v>25</v>
      </c>
      <c r="K8" t="s">
        <v>50</v>
      </c>
      <c r="L8" t="s">
        <v>50</v>
      </c>
      <c r="M8">
        <v>0.21</v>
      </c>
    </row>
    <row r="9" spans="1:14" x14ac:dyDescent="0.35">
      <c r="A9" s="6">
        <f t="shared" ca="1" si="0"/>
        <v>44643</v>
      </c>
      <c r="B9" t="s">
        <v>85</v>
      </c>
      <c r="C9">
        <v>564</v>
      </c>
      <c r="D9">
        <v>4.37</v>
      </c>
      <c r="E9">
        <v>129</v>
      </c>
      <c r="F9">
        <v>70.2</v>
      </c>
      <c r="G9">
        <v>60.9</v>
      </c>
      <c r="H9">
        <v>10</v>
      </c>
      <c r="I9">
        <v>-1.51</v>
      </c>
      <c r="J9">
        <v>13</v>
      </c>
      <c r="K9" t="s">
        <v>50</v>
      </c>
      <c r="L9" t="s">
        <v>50</v>
      </c>
      <c r="M9">
        <v>0.35</v>
      </c>
    </row>
    <row r="10" spans="1:14" x14ac:dyDescent="0.35">
      <c r="A10" s="6">
        <f t="shared" ca="1" si="0"/>
        <v>44643</v>
      </c>
      <c r="B10" t="s">
        <v>86</v>
      </c>
      <c r="C10">
        <v>1389</v>
      </c>
      <c r="D10">
        <v>27.9</v>
      </c>
      <c r="E10">
        <v>52.4</v>
      </c>
      <c r="F10">
        <v>70.2</v>
      </c>
      <c r="G10">
        <v>180</v>
      </c>
      <c r="H10">
        <v>10</v>
      </c>
      <c r="I10">
        <v>8.59</v>
      </c>
      <c r="J10">
        <v>18</v>
      </c>
      <c r="K10" t="s">
        <v>50</v>
      </c>
      <c r="L10" t="s">
        <v>50</v>
      </c>
      <c r="M10">
        <v>0.57999999999999996</v>
      </c>
    </row>
    <row r="11" spans="1:14" x14ac:dyDescent="0.35">
      <c r="A11" s="6">
        <f t="shared" ca="1" si="0"/>
        <v>44643</v>
      </c>
    </row>
    <row r="12" spans="1:14" x14ac:dyDescent="0.35">
      <c r="A12" s="6">
        <f t="shared" ca="1" si="0"/>
        <v>44643</v>
      </c>
    </row>
    <row r="13" spans="1:14" x14ac:dyDescent="0.35">
      <c r="A13" s="6">
        <f t="shared" ca="1" si="0"/>
        <v>44643</v>
      </c>
    </row>
    <row r="14" spans="1:14" x14ac:dyDescent="0.35">
      <c r="A14" s="6">
        <f t="shared" ca="1" si="0"/>
        <v>44643</v>
      </c>
    </row>
    <row r="15" spans="1:14" x14ac:dyDescent="0.35">
      <c r="A15" s="6">
        <f t="shared" ca="1" si="0"/>
        <v>44643</v>
      </c>
    </row>
    <row r="16" spans="1:14" x14ac:dyDescent="0.35">
      <c r="A16" s="6">
        <f t="shared" ca="1" si="0"/>
        <v>44643</v>
      </c>
    </row>
    <row r="17" spans="1:1" x14ac:dyDescent="0.35">
      <c r="A17" s="6">
        <f t="shared" ca="1" si="0"/>
        <v>44643</v>
      </c>
    </row>
    <row r="18" spans="1:1" x14ac:dyDescent="0.35">
      <c r="A18" s="6">
        <f t="shared" ca="1" si="0"/>
        <v>44643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C4EC-BC4E-4D37-AE64-3FC2DDE79BC7}">
  <sheetPr filterMode="1"/>
  <dimension ref="A1:N158"/>
  <sheetViews>
    <sheetView workbookViewId="0">
      <pane ySplit="1" topLeftCell="A119" activePane="bottomLeft" state="frozen"/>
      <selection pane="bottomLeft" activeCell="K160" sqref="K160"/>
    </sheetView>
  </sheetViews>
  <sheetFormatPr defaultRowHeight="14.5" x14ac:dyDescent="0.35"/>
  <cols>
    <col min="1" max="1" width="10.08984375" bestFit="1" customWidth="1"/>
    <col min="2" max="2" width="25.90625"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B2" t="e" vm="1">
        <v>#VALUE!</v>
      </c>
      <c r="C2">
        <v>38.799999999999997</v>
      </c>
      <c r="D2">
        <v>8.4600000000000009</v>
      </c>
      <c r="E2">
        <v>4.58</v>
      </c>
      <c r="F2">
        <v>24.8</v>
      </c>
      <c r="G2">
        <v>68.400000000000006</v>
      </c>
      <c r="H2">
        <v>10</v>
      </c>
      <c r="I2">
        <v>99</v>
      </c>
      <c r="J2">
        <v>-3</v>
      </c>
      <c r="K2" t="s">
        <v>50</v>
      </c>
      <c r="L2" t="s">
        <v>50</v>
      </c>
      <c r="M2">
        <v>5.61</v>
      </c>
    </row>
    <row r="3" spans="1:14" x14ac:dyDescent="0.35">
      <c r="B3" t="e" vm="2">
        <v>#VALUE!</v>
      </c>
      <c r="C3">
        <v>22.8</v>
      </c>
      <c r="D3">
        <v>4.3099999999999996</v>
      </c>
      <c r="E3">
        <v>5.39</v>
      </c>
      <c r="F3">
        <v>4.17</v>
      </c>
      <c r="G3">
        <v>29.8</v>
      </c>
      <c r="H3">
        <v>10</v>
      </c>
      <c r="I3">
        <v>99</v>
      </c>
      <c r="K3" t="s">
        <v>50</v>
      </c>
      <c r="L3" t="s">
        <v>50</v>
      </c>
      <c r="M3">
        <v>4.6100000000000003</v>
      </c>
    </row>
    <row r="4" spans="1:14" hidden="1" x14ac:dyDescent="0.35">
      <c r="A4" s="6">
        <f ca="1">TODAY()</f>
        <v>44643</v>
      </c>
      <c r="B4" t="s">
        <v>98</v>
      </c>
      <c r="C4">
        <v>32.200000000000003</v>
      </c>
      <c r="D4">
        <v>2.92</v>
      </c>
      <c r="E4">
        <v>11</v>
      </c>
      <c r="F4">
        <v>26.1</v>
      </c>
      <c r="G4">
        <v>45.4</v>
      </c>
      <c r="H4">
        <v>1</v>
      </c>
      <c r="I4">
        <v>91</v>
      </c>
      <c r="J4">
        <v>15</v>
      </c>
      <c r="K4" t="s">
        <v>50</v>
      </c>
      <c r="L4" t="s">
        <v>50</v>
      </c>
      <c r="M4">
        <v>7.76</v>
      </c>
    </row>
    <row r="5" spans="1:14" x14ac:dyDescent="0.35">
      <c r="B5" t="e" vm="3">
        <v>#VALUE!</v>
      </c>
      <c r="C5">
        <v>1345</v>
      </c>
      <c r="D5">
        <v>36.5</v>
      </c>
      <c r="E5">
        <v>36.9</v>
      </c>
      <c r="F5">
        <v>25.7</v>
      </c>
      <c r="G5">
        <v>3570</v>
      </c>
      <c r="H5">
        <v>10</v>
      </c>
      <c r="I5">
        <v>80</v>
      </c>
      <c r="J5">
        <v>20</v>
      </c>
      <c r="K5" t="s">
        <v>50</v>
      </c>
      <c r="L5" t="s">
        <v>50</v>
      </c>
      <c r="M5">
        <v>1.78</v>
      </c>
    </row>
    <row r="6" spans="1:14" x14ac:dyDescent="0.35">
      <c r="A6" s="6">
        <f ca="1">TODAY()</f>
        <v>44643</v>
      </c>
      <c r="B6" t="e" vm="4">
        <v>#VALUE!</v>
      </c>
      <c r="C6">
        <v>30</v>
      </c>
      <c r="D6">
        <v>3.96</v>
      </c>
      <c r="E6">
        <v>6.78</v>
      </c>
      <c r="F6">
        <v>40.799999999999997</v>
      </c>
      <c r="G6">
        <v>34</v>
      </c>
      <c r="H6">
        <v>10</v>
      </c>
      <c r="I6">
        <v>67</v>
      </c>
      <c r="J6">
        <v>6</v>
      </c>
      <c r="K6" t="s">
        <v>50</v>
      </c>
      <c r="L6" t="s">
        <v>50</v>
      </c>
      <c r="M6">
        <v>7.32</v>
      </c>
    </row>
    <row r="7" spans="1:14" x14ac:dyDescent="0.35">
      <c r="A7" s="6">
        <f ca="1">TODAY()</f>
        <v>44643</v>
      </c>
      <c r="B7" t="e" vm="5">
        <v>#VALUE!</v>
      </c>
      <c r="C7">
        <v>1487</v>
      </c>
      <c r="D7">
        <v>24.4</v>
      </c>
      <c r="E7">
        <v>60.9</v>
      </c>
      <c r="F7">
        <v>26.1</v>
      </c>
      <c r="G7">
        <v>89</v>
      </c>
      <c r="H7">
        <v>10</v>
      </c>
      <c r="I7">
        <v>64</v>
      </c>
      <c r="J7">
        <v>88</v>
      </c>
      <c r="K7" t="s">
        <v>50</v>
      </c>
      <c r="L7" t="s">
        <v>50</v>
      </c>
      <c r="M7">
        <v>0.61</v>
      </c>
    </row>
    <row r="8" spans="1:14" hidden="1" x14ac:dyDescent="0.35">
      <c r="A8" s="6">
        <f ca="1">TODAY()</f>
        <v>44643</v>
      </c>
      <c r="B8" t="e" vm="6">
        <v>#VALUE!</v>
      </c>
      <c r="C8">
        <v>488</v>
      </c>
      <c r="D8">
        <v>43</v>
      </c>
      <c r="E8">
        <v>11.4</v>
      </c>
      <c r="F8">
        <v>32.299999999999997</v>
      </c>
      <c r="G8">
        <v>195</v>
      </c>
      <c r="H8">
        <v>5</v>
      </c>
      <c r="I8">
        <v>61</v>
      </c>
      <c r="J8">
        <v>6</v>
      </c>
      <c r="K8" t="s">
        <v>50</v>
      </c>
      <c r="L8" t="s">
        <v>50</v>
      </c>
      <c r="M8">
        <v>1.28</v>
      </c>
    </row>
    <row r="9" spans="1:14" hidden="1" x14ac:dyDescent="0.35">
      <c r="B9" t="e" vm="7">
        <v>#VALUE!</v>
      </c>
      <c r="C9">
        <v>82.2</v>
      </c>
      <c r="D9">
        <v>8.8000000000000007</v>
      </c>
      <c r="E9">
        <v>9.6999999999999993</v>
      </c>
      <c r="F9">
        <v>17.5</v>
      </c>
      <c r="G9">
        <v>78.5</v>
      </c>
      <c r="H9">
        <v>2</v>
      </c>
      <c r="I9">
        <v>60</v>
      </c>
      <c r="J9">
        <v>10</v>
      </c>
      <c r="K9" t="s">
        <v>50</v>
      </c>
      <c r="L9" t="s">
        <v>61</v>
      </c>
      <c r="M9">
        <v>0.85</v>
      </c>
    </row>
    <row r="10" spans="1:14" hidden="1" x14ac:dyDescent="0.35">
      <c r="A10" s="6">
        <f ca="1">TODAY()</f>
        <v>44643</v>
      </c>
      <c r="B10" t="e" vm="7">
        <v>#VALUE!</v>
      </c>
      <c r="C10">
        <v>82.2</v>
      </c>
      <c r="D10">
        <v>8.8000000000000007</v>
      </c>
      <c r="E10">
        <v>9.6999999999999993</v>
      </c>
      <c r="F10">
        <v>17.5</v>
      </c>
      <c r="G10">
        <v>78.5</v>
      </c>
      <c r="H10">
        <v>2</v>
      </c>
      <c r="I10">
        <v>59.7</v>
      </c>
      <c r="J10">
        <v>4</v>
      </c>
      <c r="K10" t="s">
        <v>50</v>
      </c>
      <c r="L10" t="s">
        <v>50</v>
      </c>
      <c r="M10">
        <v>0.85</v>
      </c>
    </row>
    <row r="11" spans="1:14" hidden="1" x14ac:dyDescent="0.35">
      <c r="B11" t="e" vm="8">
        <v>#VALUE!</v>
      </c>
      <c r="C11">
        <v>6871</v>
      </c>
      <c r="D11">
        <v>82.5</v>
      </c>
      <c r="E11">
        <v>83.3</v>
      </c>
      <c r="F11">
        <v>25.7</v>
      </c>
      <c r="G11">
        <v>646</v>
      </c>
      <c r="H11">
        <v>2</v>
      </c>
      <c r="I11">
        <v>58</v>
      </c>
      <c r="J11">
        <v>40</v>
      </c>
      <c r="K11" t="s">
        <v>50</v>
      </c>
      <c r="L11" t="s">
        <v>50</v>
      </c>
      <c r="M11">
        <v>0.15</v>
      </c>
    </row>
    <row r="12" spans="1:14" x14ac:dyDescent="0.35">
      <c r="B12" t="e" vm="9">
        <v>#VALUE!</v>
      </c>
      <c r="C12">
        <v>346</v>
      </c>
      <c r="D12">
        <v>12.5</v>
      </c>
      <c r="E12">
        <v>27.8</v>
      </c>
      <c r="F12">
        <v>25.7</v>
      </c>
      <c r="G12">
        <v>53.2</v>
      </c>
      <c r="H12">
        <v>10</v>
      </c>
      <c r="I12">
        <v>57</v>
      </c>
      <c r="J12">
        <v>30</v>
      </c>
      <c r="K12" t="s">
        <v>50</v>
      </c>
      <c r="L12" t="s">
        <v>50</v>
      </c>
      <c r="M12">
        <v>2.31</v>
      </c>
    </row>
    <row r="13" spans="1:14" hidden="1" x14ac:dyDescent="0.35">
      <c r="B13" t="e" vm="10">
        <v>#VALUE!</v>
      </c>
      <c r="C13">
        <v>316</v>
      </c>
      <c r="D13">
        <v>20.6</v>
      </c>
      <c r="E13">
        <v>15.2</v>
      </c>
      <c r="F13">
        <v>11.9</v>
      </c>
      <c r="G13">
        <v>86</v>
      </c>
      <c r="H13">
        <v>2</v>
      </c>
      <c r="I13">
        <v>55</v>
      </c>
      <c r="J13">
        <v>6</v>
      </c>
      <c r="K13" t="s">
        <v>50</v>
      </c>
      <c r="L13" t="s">
        <v>50</v>
      </c>
      <c r="M13">
        <v>6.75</v>
      </c>
    </row>
    <row r="14" spans="1:14" hidden="1" x14ac:dyDescent="0.35">
      <c r="A14" s="6">
        <f ca="1">TODAY()</f>
        <v>44643</v>
      </c>
      <c r="B14" t="e" vm="11">
        <v>#VALUE!</v>
      </c>
      <c r="C14">
        <v>1462</v>
      </c>
      <c r="D14">
        <v>62</v>
      </c>
      <c r="E14">
        <v>23.7</v>
      </c>
      <c r="F14">
        <v>17.5</v>
      </c>
      <c r="G14">
        <v>379</v>
      </c>
      <c r="H14">
        <v>1</v>
      </c>
      <c r="I14">
        <v>55</v>
      </c>
      <c r="J14">
        <v>20</v>
      </c>
      <c r="K14" t="s">
        <v>50</v>
      </c>
      <c r="L14" t="s">
        <v>50</v>
      </c>
      <c r="M14">
        <v>0.44</v>
      </c>
    </row>
    <row r="15" spans="1:14" x14ac:dyDescent="0.35">
      <c r="A15" s="6">
        <f ca="1">TODAY()</f>
        <v>44643</v>
      </c>
      <c r="B15" t="e" vm="12">
        <v>#VALUE!</v>
      </c>
      <c r="C15">
        <v>31.2</v>
      </c>
      <c r="D15">
        <v>3.52</v>
      </c>
      <c r="E15">
        <v>8.8699999999999992</v>
      </c>
      <c r="F15">
        <v>40.799999999999997</v>
      </c>
      <c r="G15">
        <v>34.9</v>
      </c>
      <c r="H15">
        <v>10</v>
      </c>
      <c r="I15">
        <v>52</v>
      </c>
      <c r="J15">
        <v>6</v>
      </c>
      <c r="K15" t="s">
        <v>50</v>
      </c>
      <c r="L15" t="s">
        <v>50</v>
      </c>
      <c r="M15">
        <v>5.12</v>
      </c>
    </row>
    <row r="16" spans="1:14" hidden="1" x14ac:dyDescent="0.35">
      <c r="A16" s="6">
        <f ca="1">TODAY()</f>
        <v>44643</v>
      </c>
      <c r="B16" t="e" vm="13">
        <v>#VALUE!</v>
      </c>
      <c r="C16">
        <v>516</v>
      </c>
      <c r="E16">
        <v>58</v>
      </c>
      <c r="F16">
        <v>68</v>
      </c>
      <c r="H16">
        <v>2</v>
      </c>
      <c r="I16">
        <v>50</v>
      </c>
      <c r="K16" t="s">
        <v>50</v>
      </c>
      <c r="L16" t="s">
        <v>50</v>
      </c>
      <c r="M16">
        <v>0.39</v>
      </c>
    </row>
    <row r="17" spans="1:13" x14ac:dyDescent="0.35">
      <c r="B17" t="e" vm="14">
        <v>#VALUE!</v>
      </c>
      <c r="C17">
        <v>1043</v>
      </c>
      <c r="D17">
        <v>36.4</v>
      </c>
      <c r="E17">
        <v>29</v>
      </c>
      <c r="F17">
        <v>17.5</v>
      </c>
      <c r="G17">
        <v>197</v>
      </c>
      <c r="H17">
        <v>10</v>
      </c>
      <c r="I17">
        <v>50</v>
      </c>
      <c r="J17">
        <v>20</v>
      </c>
      <c r="K17" t="s">
        <v>50</v>
      </c>
      <c r="L17" t="s">
        <v>61</v>
      </c>
      <c r="M17">
        <v>0</v>
      </c>
    </row>
    <row r="18" spans="1:13" x14ac:dyDescent="0.35">
      <c r="A18" s="6">
        <f ca="1">TODAY()</f>
        <v>44643</v>
      </c>
      <c r="B18" t="e" vm="15">
        <v>#VALUE!</v>
      </c>
      <c r="C18">
        <v>138</v>
      </c>
      <c r="D18">
        <v>39.200000000000003</v>
      </c>
      <c r="E18">
        <v>3.7</v>
      </c>
      <c r="F18">
        <v>9.44</v>
      </c>
      <c r="G18">
        <v>317</v>
      </c>
      <c r="H18">
        <v>10</v>
      </c>
      <c r="I18">
        <v>47.7</v>
      </c>
      <c r="J18">
        <v>-9</v>
      </c>
      <c r="K18" t="s">
        <v>61</v>
      </c>
      <c r="L18" t="s">
        <v>50</v>
      </c>
      <c r="M18">
        <v>1.45</v>
      </c>
    </row>
    <row r="19" spans="1:13" hidden="1" x14ac:dyDescent="0.35">
      <c r="A19" s="6">
        <f ca="1">TODAY()</f>
        <v>44643</v>
      </c>
      <c r="B19" t="e" vm="16">
        <v>#VALUE!</v>
      </c>
      <c r="C19">
        <v>833</v>
      </c>
      <c r="D19">
        <v>5.2</v>
      </c>
      <c r="E19">
        <v>157</v>
      </c>
      <c r="F19">
        <v>157</v>
      </c>
      <c r="G19">
        <v>20.399999999999999</v>
      </c>
      <c r="H19">
        <v>2</v>
      </c>
      <c r="I19">
        <v>46.4</v>
      </c>
      <c r="J19">
        <v>190</v>
      </c>
      <c r="K19" t="s">
        <v>50</v>
      </c>
      <c r="L19" t="s">
        <v>50</v>
      </c>
      <c r="M19">
        <v>0.12</v>
      </c>
    </row>
    <row r="20" spans="1:13" x14ac:dyDescent="0.35">
      <c r="B20" t="e" vm="17">
        <v>#VALUE!</v>
      </c>
      <c r="C20">
        <v>885</v>
      </c>
      <c r="D20">
        <v>49.6</v>
      </c>
      <c r="E20">
        <v>18</v>
      </c>
      <c r="F20">
        <v>17.5</v>
      </c>
      <c r="G20">
        <v>560</v>
      </c>
      <c r="H20">
        <v>10</v>
      </c>
      <c r="I20">
        <v>46</v>
      </c>
      <c r="J20">
        <v>-4</v>
      </c>
      <c r="K20" t="s">
        <v>61</v>
      </c>
      <c r="L20" t="s">
        <v>61</v>
      </c>
      <c r="M20">
        <v>0.56000000000000005</v>
      </c>
    </row>
    <row r="21" spans="1:13" hidden="1" x14ac:dyDescent="0.35">
      <c r="B21" t="e" vm="18">
        <v>#VALUE!</v>
      </c>
      <c r="C21">
        <v>669</v>
      </c>
      <c r="D21">
        <v>32.6</v>
      </c>
      <c r="E21">
        <v>20.5</v>
      </c>
      <c r="F21">
        <v>17.5</v>
      </c>
      <c r="G21">
        <v>338</v>
      </c>
      <c r="H21">
        <v>2</v>
      </c>
      <c r="I21">
        <v>45</v>
      </c>
      <c r="J21">
        <v>8</v>
      </c>
      <c r="K21" t="s">
        <v>50</v>
      </c>
      <c r="L21" t="s">
        <v>61</v>
      </c>
      <c r="M21">
        <v>0</v>
      </c>
    </row>
    <row r="22" spans="1:13" x14ac:dyDescent="0.35">
      <c r="B22" t="e" vm="19">
        <v>#VALUE!</v>
      </c>
      <c r="C22">
        <v>197</v>
      </c>
      <c r="D22">
        <v>-6.23</v>
      </c>
      <c r="F22">
        <v>54.2</v>
      </c>
      <c r="G22">
        <v>-95.6</v>
      </c>
      <c r="H22">
        <v>10</v>
      </c>
      <c r="I22">
        <v>44</v>
      </c>
      <c r="J22">
        <v>264</v>
      </c>
      <c r="K22" t="s">
        <v>61</v>
      </c>
      <c r="L22" t="s">
        <v>50</v>
      </c>
      <c r="M22">
        <v>0</v>
      </c>
    </row>
    <row r="23" spans="1:13" hidden="1" x14ac:dyDescent="0.35">
      <c r="B23" t="e" vm="20">
        <v>#VALUE!</v>
      </c>
      <c r="C23">
        <v>595</v>
      </c>
      <c r="D23">
        <v>11.6</v>
      </c>
      <c r="E23">
        <v>51.3</v>
      </c>
      <c r="F23">
        <v>43</v>
      </c>
      <c r="G23">
        <v>53</v>
      </c>
      <c r="H23">
        <v>1</v>
      </c>
      <c r="I23">
        <v>43</v>
      </c>
      <c r="J23">
        <v>60</v>
      </c>
      <c r="K23" t="s">
        <v>50</v>
      </c>
      <c r="L23" t="s">
        <v>50</v>
      </c>
      <c r="M23">
        <v>0</v>
      </c>
    </row>
    <row r="24" spans="1:13" x14ac:dyDescent="0.35">
      <c r="A24" s="6">
        <f ca="1">TODAY()</f>
        <v>44643</v>
      </c>
      <c r="B24" t="e" vm="21">
        <v>#VALUE!</v>
      </c>
      <c r="C24">
        <v>42.8</v>
      </c>
      <c r="D24">
        <v>6.95</v>
      </c>
      <c r="E24">
        <v>6.33</v>
      </c>
      <c r="F24">
        <v>9.44</v>
      </c>
      <c r="G24">
        <v>94.6</v>
      </c>
      <c r="H24">
        <v>10</v>
      </c>
      <c r="I24">
        <v>43</v>
      </c>
      <c r="J24">
        <v>-20</v>
      </c>
      <c r="K24" t="s">
        <v>61</v>
      </c>
      <c r="L24" t="s">
        <v>50</v>
      </c>
      <c r="M24">
        <v>0</v>
      </c>
    </row>
    <row r="25" spans="1:13" x14ac:dyDescent="0.35">
      <c r="A25" s="6">
        <f ca="1">TODAY()</f>
        <v>44643</v>
      </c>
      <c r="B25" t="e" vm="22">
        <v>#VALUE!</v>
      </c>
      <c r="C25">
        <v>46.1</v>
      </c>
      <c r="D25">
        <v>2.0499999999999998</v>
      </c>
      <c r="E25">
        <v>22.5</v>
      </c>
      <c r="F25">
        <v>17.5</v>
      </c>
      <c r="G25">
        <v>35</v>
      </c>
      <c r="H25">
        <v>10</v>
      </c>
      <c r="I25">
        <v>41.9</v>
      </c>
      <c r="J25">
        <v>-9</v>
      </c>
      <c r="K25" t="s">
        <v>61</v>
      </c>
      <c r="L25" t="s">
        <v>50</v>
      </c>
      <c r="M25">
        <v>0</v>
      </c>
    </row>
    <row r="26" spans="1:13" x14ac:dyDescent="0.35">
      <c r="B26" t="e" vm="23">
        <v>#VALUE!</v>
      </c>
      <c r="C26">
        <v>299</v>
      </c>
      <c r="D26">
        <v>4.6900000000000004</v>
      </c>
      <c r="E26">
        <v>64</v>
      </c>
      <c r="F26">
        <v>40.799999999999997</v>
      </c>
      <c r="G26">
        <v>96</v>
      </c>
      <c r="H26">
        <v>10</v>
      </c>
      <c r="I26">
        <v>41</v>
      </c>
      <c r="J26">
        <v>40</v>
      </c>
      <c r="K26" t="s">
        <v>50</v>
      </c>
      <c r="L26" t="s">
        <v>50</v>
      </c>
      <c r="M26">
        <v>0.67</v>
      </c>
    </row>
    <row r="27" spans="1:13" hidden="1" x14ac:dyDescent="0.35">
      <c r="A27" s="6">
        <f t="shared" ref="A27:A33" ca="1" si="0">TODAY()</f>
        <v>44643</v>
      </c>
      <c r="B27" t="s">
        <v>97</v>
      </c>
      <c r="C27">
        <v>513</v>
      </c>
      <c r="D27">
        <v>6.64</v>
      </c>
      <c r="E27">
        <v>77.599999999999994</v>
      </c>
      <c r="F27">
        <v>40.299999999999997</v>
      </c>
      <c r="G27">
        <v>37.6</v>
      </c>
      <c r="H27">
        <v>2</v>
      </c>
      <c r="I27">
        <v>41</v>
      </c>
      <c r="J27">
        <v>56</v>
      </c>
      <c r="K27" t="s">
        <v>50</v>
      </c>
      <c r="L27" t="s">
        <v>50</v>
      </c>
      <c r="M27">
        <v>0</v>
      </c>
    </row>
    <row r="28" spans="1:13" hidden="1" x14ac:dyDescent="0.35">
      <c r="A28" s="6">
        <f t="shared" ca="1" si="0"/>
        <v>44643</v>
      </c>
      <c r="B28" t="e" vm="24">
        <v>#VALUE!</v>
      </c>
      <c r="C28">
        <v>216</v>
      </c>
      <c r="D28">
        <v>11.6</v>
      </c>
      <c r="E28">
        <v>18.600000000000001</v>
      </c>
      <c r="F28">
        <v>16.3</v>
      </c>
      <c r="G28">
        <v>49.4</v>
      </c>
      <c r="H28">
        <v>1</v>
      </c>
      <c r="I28">
        <v>35</v>
      </c>
      <c r="J28">
        <v>-8</v>
      </c>
      <c r="K28" t="s">
        <v>61</v>
      </c>
      <c r="L28" t="s">
        <v>50</v>
      </c>
      <c r="M28">
        <v>4.9800000000000004</v>
      </c>
    </row>
    <row r="29" spans="1:13" hidden="1" x14ac:dyDescent="0.35">
      <c r="A29" s="6">
        <f t="shared" ca="1" si="0"/>
        <v>44643</v>
      </c>
      <c r="B29" t="s">
        <v>88</v>
      </c>
      <c r="C29">
        <v>7.29</v>
      </c>
      <c r="D29">
        <v>0.47</v>
      </c>
      <c r="E29">
        <v>15.5</v>
      </c>
      <c r="F29">
        <v>26.1</v>
      </c>
      <c r="G29">
        <v>3.78</v>
      </c>
      <c r="H29">
        <v>1</v>
      </c>
      <c r="I29">
        <v>35</v>
      </c>
      <c r="J29">
        <v>24</v>
      </c>
      <c r="K29" t="s">
        <v>50</v>
      </c>
      <c r="L29" t="s">
        <v>50</v>
      </c>
      <c r="M29">
        <v>0</v>
      </c>
    </row>
    <row r="30" spans="1:13" hidden="1" x14ac:dyDescent="0.35">
      <c r="A30" s="6">
        <f t="shared" ca="1" si="0"/>
        <v>44643</v>
      </c>
      <c r="B30" t="e" vm="25">
        <v>#VALUE!</v>
      </c>
      <c r="C30">
        <v>452</v>
      </c>
      <c r="D30">
        <v>32.1</v>
      </c>
      <c r="E30">
        <v>11.9</v>
      </c>
      <c r="F30">
        <v>9.44</v>
      </c>
      <c r="G30">
        <v>309</v>
      </c>
      <c r="H30">
        <v>1</v>
      </c>
      <c r="I30">
        <v>31.1</v>
      </c>
      <c r="J30">
        <v>15</v>
      </c>
      <c r="K30" t="s">
        <v>50</v>
      </c>
      <c r="L30" t="s">
        <v>50</v>
      </c>
      <c r="M30">
        <v>0.89</v>
      </c>
    </row>
    <row r="31" spans="1:13" x14ac:dyDescent="0.35">
      <c r="A31" s="6">
        <f t="shared" ca="1" si="0"/>
        <v>44643</v>
      </c>
      <c r="B31" t="e" vm="26">
        <v>#VALUE!</v>
      </c>
      <c r="C31">
        <v>63</v>
      </c>
      <c r="D31">
        <v>10.5</v>
      </c>
      <c r="E31">
        <v>6.39</v>
      </c>
      <c r="F31">
        <v>40.799999999999997</v>
      </c>
      <c r="G31">
        <v>104</v>
      </c>
      <c r="H31">
        <v>10</v>
      </c>
      <c r="I31">
        <v>31</v>
      </c>
      <c r="J31">
        <v>-3</v>
      </c>
      <c r="K31" t="s">
        <v>61</v>
      </c>
      <c r="L31" t="s">
        <v>50</v>
      </c>
      <c r="M31">
        <v>3.97</v>
      </c>
    </row>
    <row r="32" spans="1:13" hidden="1" x14ac:dyDescent="0.35">
      <c r="A32" s="6">
        <f t="shared" ca="1" si="0"/>
        <v>44643</v>
      </c>
      <c r="B32" t="e" vm="27">
        <v>#VALUE!</v>
      </c>
      <c r="C32">
        <v>2564</v>
      </c>
      <c r="D32">
        <v>115</v>
      </c>
      <c r="E32">
        <v>22.3</v>
      </c>
      <c r="F32">
        <v>24.8</v>
      </c>
      <c r="G32">
        <v>903</v>
      </c>
      <c r="H32">
        <v>2</v>
      </c>
      <c r="I32">
        <v>31</v>
      </c>
      <c r="J32">
        <v>15</v>
      </c>
      <c r="K32" t="s">
        <v>50</v>
      </c>
      <c r="L32" t="s">
        <v>50</v>
      </c>
      <c r="M32">
        <v>0.9</v>
      </c>
    </row>
    <row r="33" spans="1:13" x14ac:dyDescent="0.35">
      <c r="A33" s="6">
        <f t="shared" ca="1" si="0"/>
        <v>44643</v>
      </c>
      <c r="B33" t="e" vm="28">
        <v>#VALUE!</v>
      </c>
      <c r="C33">
        <v>5029</v>
      </c>
      <c r="D33">
        <v>128</v>
      </c>
      <c r="E33">
        <v>39.4</v>
      </c>
      <c r="F33">
        <v>60.9</v>
      </c>
      <c r="G33">
        <v>564</v>
      </c>
      <c r="H33">
        <v>10</v>
      </c>
      <c r="I33">
        <v>31</v>
      </c>
      <c r="J33">
        <v>22</v>
      </c>
      <c r="K33" t="s">
        <v>50</v>
      </c>
      <c r="L33" t="s">
        <v>50</v>
      </c>
      <c r="M33">
        <v>0.6</v>
      </c>
    </row>
    <row r="34" spans="1:13" x14ac:dyDescent="0.35">
      <c r="B34" t="e" vm="29">
        <v>#VALUE!</v>
      </c>
      <c r="C34">
        <v>887</v>
      </c>
      <c r="D34">
        <v>10.4</v>
      </c>
      <c r="E34">
        <v>85.4</v>
      </c>
      <c r="F34">
        <v>35.799999999999997</v>
      </c>
      <c r="G34">
        <v>258</v>
      </c>
      <c r="H34">
        <v>10</v>
      </c>
      <c r="I34">
        <v>31</v>
      </c>
      <c r="J34">
        <v>30</v>
      </c>
      <c r="K34" t="s">
        <v>50</v>
      </c>
      <c r="L34" t="s">
        <v>50</v>
      </c>
      <c r="M34">
        <v>0.39</v>
      </c>
    </row>
    <row r="35" spans="1:13" hidden="1" x14ac:dyDescent="0.35">
      <c r="A35" s="6">
        <f ca="1">TODAY()</f>
        <v>44643</v>
      </c>
      <c r="B35" t="e" vm="30">
        <v>#VALUE!</v>
      </c>
      <c r="C35">
        <v>538</v>
      </c>
      <c r="D35">
        <v>18.2</v>
      </c>
      <c r="E35">
        <v>29.5</v>
      </c>
      <c r="F35">
        <v>28.6</v>
      </c>
      <c r="G35">
        <v>57.5</v>
      </c>
      <c r="H35">
        <v>2</v>
      </c>
      <c r="I35">
        <v>31</v>
      </c>
      <c r="J35">
        <v>41</v>
      </c>
      <c r="K35" t="s">
        <v>50</v>
      </c>
      <c r="L35" t="s">
        <v>50</v>
      </c>
      <c r="M35">
        <v>0.37</v>
      </c>
    </row>
    <row r="36" spans="1:13" x14ac:dyDescent="0.35">
      <c r="A36" s="6">
        <f ca="1">TODAY()</f>
        <v>44643</v>
      </c>
      <c r="B36" t="e" vm="31">
        <v>#VALUE!</v>
      </c>
      <c r="C36">
        <v>723</v>
      </c>
      <c r="D36">
        <v>3.28</v>
      </c>
      <c r="E36">
        <v>211</v>
      </c>
      <c r="F36">
        <v>21.6</v>
      </c>
      <c r="G36">
        <v>28.2</v>
      </c>
      <c r="H36">
        <v>10</v>
      </c>
      <c r="I36">
        <v>31</v>
      </c>
      <c r="K36" t="s">
        <v>50</v>
      </c>
      <c r="L36" t="s">
        <v>50</v>
      </c>
      <c r="M36">
        <v>0</v>
      </c>
    </row>
    <row r="37" spans="1:13" x14ac:dyDescent="0.35">
      <c r="A37" s="6">
        <f ca="1">TODAY()</f>
        <v>44643</v>
      </c>
      <c r="B37" t="e" vm="32">
        <v>#VALUE!</v>
      </c>
      <c r="C37">
        <v>5814</v>
      </c>
      <c r="D37">
        <v>73.7</v>
      </c>
      <c r="E37">
        <v>78.900000000000006</v>
      </c>
      <c r="F37">
        <v>36</v>
      </c>
      <c r="G37">
        <v>207</v>
      </c>
      <c r="H37">
        <v>10</v>
      </c>
      <c r="I37">
        <v>30</v>
      </c>
      <c r="J37">
        <v>50</v>
      </c>
      <c r="K37" t="s">
        <v>50</v>
      </c>
      <c r="L37" t="s">
        <v>50</v>
      </c>
      <c r="M37">
        <v>0.41</v>
      </c>
    </row>
    <row r="38" spans="1:13" hidden="1" x14ac:dyDescent="0.35">
      <c r="A38" s="6">
        <f ca="1">TODAY()</f>
        <v>44643</v>
      </c>
      <c r="B38" t="e" vm="33">
        <v>#VALUE!</v>
      </c>
      <c r="C38">
        <v>3327</v>
      </c>
      <c r="D38">
        <v>60.7</v>
      </c>
      <c r="E38">
        <v>54.8</v>
      </c>
      <c r="F38">
        <v>28.9</v>
      </c>
      <c r="G38">
        <v>175</v>
      </c>
      <c r="H38">
        <v>2</v>
      </c>
      <c r="I38">
        <v>30</v>
      </c>
      <c r="J38">
        <v>94</v>
      </c>
      <c r="K38" t="s">
        <v>50</v>
      </c>
      <c r="L38" t="s">
        <v>50</v>
      </c>
      <c r="M38">
        <v>0.3</v>
      </c>
    </row>
    <row r="39" spans="1:13" hidden="1" x14ac:dyDescent="0.35">
      <c r="B39" t="e" vm="34">
        <v>#VALUE!</v>
      </c>
      <c r="C39">
        <v>16168</v>
      </c>
      <c r="D39">
        <v>265</v>
      </c>
      <c r="E39">
        <v>60.9</v>
      </c>
      <c r="F39">
        <v>25.7</v>
      </c>
      <c r="G39">
        <v>2381</v>
      </c>
      <c r="H39">
        <v>5</v>
      </c>
      <c r="I39">
        <v>30</v>
      </c>
      <c r="J39">
        <v>40</v>
      </c>
      <c r="K39" t="s">
        <v>50</v>
      </c>
      <c r="L39" t="s">
        <v>50</v>
      </c>
      <c r="M39">
        <v>0.02</v>
      </c>
    </row>
    <row r="40" spans="1:13" hidden="1" x14ac:dyDescent="0.35">
      <c r="B40" t="e" vm="35">
        <v>#VALUE!</v>
      </c>
      <c r="C40">
        <v>3734</v>
      </c>
      <c r="D40">
        <v>98.6</v>
      </c>
      <c r="E40">
        <v>37.799999999999997</v>
      </c>
      <c r="F40">
        <v>41.8</v>
      </c>
      <c r="G40">
        <v>262</v>
      </c>
      <c r="H40">
        <v>1</v>
      </c>
      <c r="I40">
        <v>28</v>
      </c>
      <c r="J40">
        <v>26</v>
      </c>
      <c r="K40" t="s">
        <v>50</v>
      </c>
      <c r="L40" t="s">
        <v>50</v>
      </c>
      <c r="M40">
        <v>1.02</v>
      </c>
    </row>
    <row r="41" spans="1:13" x14ac:dyDescent="0.35">
      <c r="B41" t="e" vm="36">
        <v>#VALUE!</v>
      </c>
      <c r="C41">
        <v>721</v>
      </c>
      <c r="D41">
        <v>229</v>
      </c>
      <c r="E41">
        <v>3.15</v>
      </c>
      <c r="F41">
        <v>8.2799999999999994</v>
      </c>
      <c r="G41">
        <v>575</v>
      </c>
      <c r="H41">
        <v>10</v>
      </c>
      <c r="I41">
        <v>28</v>
      </c>
      <c r="J41">
        <v>10</v>
      </c>
      <c r="K41" t="s">
        <v>50</v>
      </c>
      <c r="L41" t="s">
        <v>50</v>
      </c>
      <c r="M41">
        <v>0.69</v>
      </c>
    </row>
    <row r="42" spans="1:13" x14ac:dyDescent="0.35">
      <c r="A42" s="6">
        <f t="shared" ref="A42:A58" ca="1" si="1">TODAY()</f>
        <v>44643</v>
      </c>
      <c r="B42" t="e" vm="37">
        <v>#VALUE!</v>
      </c>
      <c r="C42">
        <v>1472</v>
      </c>
      <c r="D42">
        <v>25.9</v>
      </c>
      <c r="E42">
        <v>58.1</v>
      </c>
      <c r="F42">
        <v>36.700000000000003</v>
      </c>
      <c r="G42">
        <v>153</v>
      </c>
      <c r="H42">
        <v>10</v>
      </c>
      <c r="I42">
        <v>28</v>
      </c>
      <c r="K42" t="s">
        <v>50</v>
      </c>
      <c r="L42" t="s">
        <v>61</v>
      </c>
      <c r="M42">
        <v>0</v>
      </c>
    </row>
    <row r="43" spans="1:13" x14ac:dyDescent="0.35">
      <c r="A43" s="6">
        <f t="shared" ca="1" si="1"/>
        <v>44643</v>
      </c>
      <c r="B43" t="e" vm="38">
        <v>#VALUE!</v>
      </c>
      <c r="C43">
        <v>1101</v>
      </c>
      <c r="D43">
        <v>261</v>
      </c>
      <c r="E43">
        <v>4.24</v>
      </c>
      <c r="F43">
        <v>5.29</v>
      </c>
      <c r="G43">
        <v>749</v>
      </c>
      <c r="H43">
        <v>10</v>
      </c>
      <c r="I43">
        <v>27</v>
      </c>
      <c r="J43">
        <v>25</v>
      </c>
      <c r="K43" t="s">
        <v>50</v>
      </c>
      <c r="L43" t="s">
        <v>61</v>
      </c>
      <c r="M43">
        <v>2.27</v>
      </c>
    </row>
    <row r="44" spans="1:13" hidden="1" x14ac:dyDescent="0.35">
      <c r="A44" s="6">
        <f t="shared" ca="1" si="1"/>
        <v>44643</v>
      </c>
      <c r="B44" t="e" vm="39">
        <v>#VALUE!</v>
      </c>
      <c r="C44">
        <v>1893</v>
      </c>
      <c r="D44">
        <v>49.2</v>
      </c>
      <c r="E44">
        <v>38.200000000000003</v>
      </c>
      <c r="F44">
        <v>41.8</v>
      </c>
      <c r="G44">
        <v>166</v>
      </c>
      <c r="H44">
        <v>5</v>
      </c>
      <c r="I44">
        <v>27</v>
      </c>
      <c r="J44">
        <v>50</v>
      </c>
      <c r="K44" t="s">
        <v>50</v>
      </c>
      <c r="L44" t="s">
        <v>61</v>
      </c>
      <c r="M44">
        <v>1.43</v>
      </c>
    </row>
    <row r="45" spans="1:13" hidden="1" x14ac:dyDescent="0.35">
      <c r="A45" s="6">
        <f t="shared" ca="1" si="1"/>
        <v>44643</v>
      </c>
      <c r="B45" t="e" vm="40">
        <v>#VALUE!</v>
      </c>
      <c r="C45">
        <v>834</v>
      </c>
      <c r="D45">
        <v>26</v>
      </c>
      <c r="E45">
        <v>32</v>
      </c>
      <c r="F45">
        <v>29.3</v>
      </c>
      <c r="G45">
        <v>206</v>
      </c>
      <c r="H45">
        <v>1</v>
      </c>
      <c r="I45">
        <v>27</v>
      </c>
      <c r="J45">
        <v>25</v>
      </c>
      <c r="K45" t="s">
        <v>50</v>
      </c>
      <c r="L45" t="s">
        <v>50</v>
      </c>
      <c r="M45">
        <v>0.9</v>
      </c>
    </row>
    <row r="46" spans="1:13" hidden="1" x14ac:dyDescent="0.35">
      <c r="A46" s="6">
        <f t="shared" ca="1" si="1"/>
        <v>44643</v>
      </c>
      <c r="B46" t="e" vm="41">
        <v>#VALUE!</v>
      </c>
      <c r="C46">
        <v>2290</v>
      </c>
      <c r="D46">
        <v>-0.61</v>
      </c>
      <c r="F46">
        <v>28.9</v>
      </c>
      <c r="G46">
        <v>351</v>
      </c>
      <c r="H46">
        <v>1</v>
      </c>
      <c r="I46">
        <v>27</v>
      </c>
      <c r="J46">
        <v>300</v>
      </c>
      <c r="K46" t="s">
        <v>50</v>
      </c>
      <c r="L46" t="s">
        <v>50</v>
      </c>
      <c r="M46">
        <v>0</v>
      </c>
    </row>
    <row r="47" spans="1:13" x14ac:dyDescent="0.35">
      <c r="A47" s="6">
        <f t="shared" ca="1" si="1"/>
        <v>44643</v>
      </c>
      <c r="B47" t="e" vm="42">
        <v>#VALUE!</v>
      </c>
      <c r="C47">
        <v>5.95</v>
      </c>
      <c r="D47">
        <v>0.28999999999999998</v>
      </c>
      <c r="E47">
        <v>37.200000000000003</v>
      </c>
      <c r="F47">
        <v>40.799999999999997</v>
      </c>
      <c r="G47">
        <v>15</v>
      </c>
      <c r="H47">
        <v>10</v>
      </c>
      <c r="I47">
        <v>27</v>
      </c>
      <c r="J47">
        <v>40</v>
      </c>
      <c r="K47" t="s">
        <v>50</v>
      </c>
      <c r="L47" t="s">
        <v>50</v>
      </c>
      <c r="M47">
        <v>0</v>
      </c>
    </row>
    <row r="48" spans="1:13" x14ac:dyDescent="0.35">
      <c r="A48" s="6">
        <f t="shared" ca="1" si="1"/>
        <v>44643</v>
      </c>
      <c r="B48" t="e" vm="43">
        <v>#VALUE!</v>
      </c>
      <c r="C48">
        <v>45.4</v>
      </c>
      <c r="D48">
        <v>-1.38</v>
      </c>
      <c r="F48">
        <v>67.400000000000006</v>
      </c>
      <c r="G48">
        <v>10.8</v>
      </c>
      <c r="H48">
        <v>10</v>
      </c>
      <c r="I48">
        <v>26</v>
      </c>
      <c r="J48">
        <v>-15</v>
      </c>
      <c r="K48" t="s">
        <v>61</v>
      </c>
      <c r="L48" t="s">
        <v>61</v>
      </c>
      <c r="M48">
        <v>0</v>
      </c>
    </row>
    <row r="49" spans="1:13" hidden="1" x14ac:dyDescent="0.35">
      <c r="A49" s="6">
        <f t="shared" ca="1" si="1"/>
        <v>44643</v>
      </c>
      <c r="B49" t="e" vm="44">
        <v>#VALUE!</v>
      </c>
      <c r="C49">
        <v>1317</v>
      </c>
      <c r="D49">
        <v>42.5</v>
      </c>
      <c r="E49">
        <v>31</v>
      </c>
      <c r="F49">
        <v>41.8</v>
      </c>
      <c r="G49">
        <v>224</v>
      </c>
      <c r="H49">
        <v>2</v>
      </c>
      <c r="I49">
        <v>25</v>
      </c>
      <c r="J49">
        <v>40</v>
      </c>
      <c r="K49" t="s">
        <v>50</v>
      </c>
      <c r="L49" t="s">
        <v>50</v>
      </c>
      <c r="M49">
        <v>1.67</v>
      </c>
    </row>
    <row r="50" spans="1:13" hidden="1" x14ac:dyDescent="0.35">
      <c r="A50" s="6">
        <f t="shared" ca="1" si="1"/>
        <v>44643</v>
      </c>
      <c r="B50" t="e" vm="45">
        <v>#VALUE!</v>
      </c>
      <c r="C50">
        <v>4160</v>
      </c>
      <c r="D50">
        <v>5.1100000000000003</v>
      </c>
      <c r="E50">
        <v>84.9</v>
      </c>
      <c r="F50">
        <v>84.9</v>
      </c>
      <c r="G50">
        <v>348</v>
      </c>
      <c r="H50">
        <v>2</v>
      </c>
      <c r="I50">
        <v>24.8</v>
      </c>
      <c r="J50">
        <v>50</v>
      </c>
      <c r="K50" t="s">
        <v>50</v>
      </c>
      <c r="L50" t="s">
        <v>61</v>
      </c>
      <c r="M50">
        <v>0.26</v>
      </c>
    </row>
    <row r="51" spans="1:13" x14ac:dyDescent="0.35">
      <c r="A51" s="6">
        <f t="shared" ca="1" si="1"/>
        <v>44643</v>
      </c>
      <c r="B51" t="e" vm="46">
        <v>#VALUE!</v>
      </c>
      <c r="C51">
        <v>2404</v>
      </c>
      <c r="D51">
        <v>50</v>
      </c>
      <c r="E51">
        <v>48</v>
      </c>
      <c r="F51">
        <v>28.8</v>
      </c>
      <c r="G51">
        <v>254</v>
      </c>
      <c r="H51">
        <v>10</v>
      </c>
      <c r="I51">
        <v>24.8</v>
      </c>
      <c r="J51">
        <v>50</v>
      </c>
      <c r="K51" t="s">
        <v>50</v>
      </c>
      <c r="L51" t="s">
        <v>50</v>
      </c>
      <c r="M51">
        <v>0.2</v>
      </c>
    </row>
    <row r="52" spans="1:13" hidden="1" x14ac:dyDescent="0.35">
      <c r="A52" s="6">
        <f t="shared" ca="1" si="1"/>
        <v>44643</v>
      </c>
      <c r="B52" t="e" vm="47">
        <v>#VALUE!</v>
      </c>
      <c r="C52">
        <v>1804</v>
      </c>
      <c r="D52">
        <v>66.3</v>
      </c>
      <c r="E52">
        <v>27.1</v>
      </c>
      <c r="F52">
        <v>15.3</v>
      </c>
      <c r="G52">
        <v>767</v>
      </c>
      <c r="H52">
        <v>2</v>
      </c>
      <c r="I52">
        <v>24.6</v>
      </c>
      <c r="J52">
        <v>18</v>
      </c>
      <c r="K52" t="s">
        <v>50</v>
      </c>
      <c r="L52" t="s">
        <v>50</v>
      </c>
      <c r="M52">
        <v>0.22</v>
      </c>
    </row>
    <row r="53" spans="1:13" x14ac:dyDescent="0.35">
      <c r="A53" s="6">
        <f t="shared" ca="1" si="1"/>
        <v>44643</v>
      </c>
      <c r="B53" t="e" vm="48">
        <v>#VALUE!</v>
      </c>
      <c r="C53">
        <v>116</v>
      </c>
      <c r="D53">
        <v>5.7</v>
      </c>
      <c r="E53">
        <v>20.100000000000001</v>
      </c>
      <c r="F53">
        <v>54.2</v>
      </c>
      <c r="G53">
        <v>45.6</v>
      </c>
      <c r="H53">
        <v>10</v>
      </c>
      <c r="I53">
        <v>24.4</v>
      </c>
      <c r="K53" t="s">
        <v>50</v>
      </c>
      <c r="L53" t="s">
        <v>50</v>
      </c>
      <c r="M53">
        <v>1.89</v>
      </c>
    </row>
    <row r="54" spans="1:13" hidden="1" x14ac:dyDescent="0.35">
      <c r="A54" s="6">
        <f t="shared" ca="1" si="1"/>
        <v>44643</v>
      </c>
      <c r="B54" t="e" vm="49">
        <v>#VALUE!</v>
      </c>
      <c r="C54">
        <v>2326</v>
      </c>
      <c r="D54">
        <v>35.799999999999997</v>
      </c>
      <c r="E54">
        <v>64.599999999999994</v>
      </c>
      <c r="F54">
        <v>60.4</v>
      </c>
      <c r="G54">
        <v>204</v>
      </c>
      <c r="H54">
        <v>1</v>
      </c>
      <c r="I54">
        <v>24.4</v>
      </c>
      <c r="J54">
        <v>10</v>
      </c>
      <c r="K54" t="s">
        <v>50</v>
      </c>
      <c r="L54" t="s">
        <v>50</v>
      </c>
      <c r="M54">
        <v>1.33</v>
      </c>
    </row>
    <row r="55" spans="1:13" hidden="1" x14ac:dyDescent="0.35">
      <c r="A55" s="6">
        <f t="shared" ca="1" si="1"/>
        <v>44643</v>
      </c>
      <c r="B55" t="e" vm="50">
        <v>#VALUE!</v>
      </c>
      <c r="C55">
        <v>21.4</v>
      </c>
      <c r="D55">
        <v>1.1399999999999999</v>
      </c>
      <c r="E55">
        <v>17.7</v>
      </c>
      <c r="F55">
        <v>32.299999999999997</v>
      </c>
      <c r="G55">
        <v>23</v>
      </c>
      <c r="H55">
        <v>2</v>
      </c>
      <c r="I55">
        <v>24</v>
      </c>
      <c r="J55">
        <v>-11</v>
      </c>
      <c r="K55" t="s">
        <v>61</v>
      </c>
      <c r="L55" t="s">
        <v>50</v>
      </c>
      <c r="M55">
        <v>0</v>
      </c>
    </row>
    <row r="56" spans="1:13" x14ac:dyDescent="0.35">
      <c r="A56" s="6">
        <f t="shared" ca="1" si="1"/>
        <v>44643</v>
      </c>
      <c r="B56" t="e" vm="51">
        <v>#VALUE!</v>
      </c>
      <c r="C56">
        <v>1211</v>
      </c>
      <c r="D56">
        <v>105</v>
      </c>
      <c r="E56">
        <v>11.5</v>
      </c>
      <c r="F56">
        <v>24.5</v>
      </c>
      <c r="G56">
        <v>493</v>
      </c>
      <c r="H56">
        <v>10</v>
      </c>
      <c r="I56">
        <v>23</v>
      </c>
      <c r="J56">
        <v>30</v>
      </c>
      <c r="K56" t="s">
        <v>50</v>
      </c>
      <c r="L56" t="s">
        <v>50</v>
      </c>
      <c r="M56">
        <v>2.48</v>
      </c>
    </row>
    <row r="57" spans="1:13" hidden="1" x14ac:dyDescent="0.35">
      <c r="A57" s="6">
        <f t="shared" ca="1" si="1"/>
        <v>44643</v>
      </c>
      <c r="B57" t="e" vm="52">
        <v>#VALUE!</v>
      </c>
      <c r="C57">
        <v>714</v>
      </c>
      <c r="D57">
        <v>21.9</v>
      </c>
      <c r="E57">
        <v>32.299999999999997</v>
      </c>
      <c r="F57">
        <v>41.8</v>
      </c>
      <c r="G57">
        <v>113</v>
      </c>
      <c r="H57">
        <v>2</v>
      </c>
      <c r="I57">
        <v>23</v>
      </c>
      <c r="J57">
        <v>40</v>
      </c>
      <c r="K57" t="s">
        <v>50</v>
      </c>
      <c r="L57" t="s">
        <v>50</v>
      </c>
      <c r="M57">
        <v>0.14000000000000001</v>
      </c>
    </row>
    <row r="58" spans="1:13" hidden="1" x14ac:dyDescent="0.35">
      <c r="A58" s="6">
        <f t="shared" ca="1" si="1"/>
        <v>44643</v>
      </c>
      <c r="B58" t="e" vm="53">
        <v>#VALUE!</v>
      </c>
      <c r="C58">
        <v>295</v>
      </c>
      <c r="D58">
        <v>14</v>
      </c>
      <c r="E58">
        <v>21</v>
      </c>
      <c r="F58">
        <v>36.799999999999997</v>
      </c>
      <c r="G58">
        <v>76.599999999999994</v>
      </c>
      <c r="H58">
        <v>2</v>
      </c>
      <c r="I58">
        <v>23</v>
      </c>
      <c r="J58">
        <v>40</v>
      </c>
      <c r="K58" t="s">
        <v>50</v>
      </c>
      <c r="L58" t="s">
        <v>50</v>
      </c>
      <c r="M58">
        <v>0.08</v>
      </c>
    </row>
    <row r="59" spans="1:13" hidden="1" x14ac:dyDescent="0.35">
      <c r="B59" t="e" vm="54">
        <v>#VALUE!</v>
      </c>
      <c r="C59">
        <v>371</v>
      </c>
      <c r="D59">
        <v>16.2</v>
      </c>
      <c r="E59">
        <v>22.2</v>
      </c>
      <c r="F59">
        <v>15.7</v>
      </c>
      <c r="G59">
        <v>123</v>
      </c>
      <c r="H59">
        <v>2</v>
      </c>
      <c r="I59">
        <v>22.3</v>
      </c>
      <c r="J59">
        <v>20</v>
      </c>
      <c r="K59" t="s">
        <v>50</v>
      </c>
      <c r="L59" t="s">
        <v>50</v>
      </c>
      <c r="M59">
        <v>4.8499999999999996</v>
      </c>
    </row>
    <row r="60" spans="1:13" x14ac:dyDescent="0.35">
      <c r="A60" s="6">
        <f ca="1">TODAY()</f>
        <v>44643</v>
      </c>
      <c r="B60" t="e" vm="55">
        <v>#VALUE!</v>
      </c>
      <c r="C60">
        <v>71.5</v>
      </c>
      <c r="D60">
        <v>5.37</v>
      </c>
      <c r="E60">
        <v>13.4</v>
      </c>
      <c r="F60">
        <v>15.7</v>
      </c>
      <c r="G60">
        <v>21.7</v>
      </c>
      <c r="H60">
        <v>10</v>
      </c>
      <c r="I60">
        <v>22</v>
      </c>
      <c r="J60">
        <v>40</v>
      </c>
      <c r="K60" t="s">
        <v>50</v>
      </c>
      <c r="L60" t="s">
        <v>50</v>
      </c>
      <c r="M60">
        <v>3.5</v>
      </c>
    </row>
    <row r="61" spans="1:13" hidden="1" x14ac:dyDescent="0.35">
      <c r="A61" s="6">
        <f ca="1">TODAY()</f>
        <v>44643</v>
      </c>
      <c r="B61" t="e" vm="56">
        <v>#VALUE!</v>
      </c>
      <c r="C61">
        <v>953</v>
      </c>
      <c r="D61">
        <v>32.1</v>
      </c>
      <c r="E61">
        <v>29.7</v>
      </c>
      <c r="F61">
        <v>29.3</v>
      </c>
      <c r="G61">
        <v>241</v>
      </c>
      <c r="H61">
        <v>2</v>
      </c>
      <c r="I61">
        <v>22</v>
      </c>
      <c r="J61">
        <v>22</v>
      </c>
      <c r="K61" t="s">
        <v>50</v>
      </c>
      <c r="L61" t="s">
        <v>61</v>
      </c>
      <c r="M61">
        <v>0.52</v>
      </c>
    </row>
    <row r="62" spans="1:13" hidden="1" x14ac:dyDescent="0.35">
      <c r="B62" t="e" vm="57">
        <v>#VALUE!</v>
      </c>
      <c r="C62">
        <v>983</v>
      </c>
      <c r="D62">
        <v>18</v>
      </c>
      <c r="E62">
        <v>55.5</v>
      </c>
      <c r="F62">
        <v>28.8</v>
      </c>
      <c r="G62">
        <v>138</v>
      </c>
      <c r="H62">
        <v>5</v>
      </c>
      <c r="I62">
        <v>22</v>
      </c>
      <c r="J62">
        <v>41</v>
      </c>
      <c r="K62" t="s">
        <v>50</v>
      </c>
      <c r="L62" t="s">
        <v>50</v>
      </c>
      <c r="M62">
        <v>0.23</v>
      </c>
    </row>
    <row r="63" spans="1:13" x14ac:dyDescent="0.35">
      <c r="B63" t="e" vm="58">
        <v>#VALUE!</v>
      </c>
      <c r="C63">
        <v>942</v>
      </c>
      <c r="D63">
        <v>40</v>
      </c>
      <c r="E63">
        <v>23.7</v>
      </c>
      <c r="F63">
        <v>21.6</v>
      </c>
      <c r="G63">
        <v>301</v>
      </c>
      <c r="H63">
        <v>10</v>
      </c>
      <c r="I63">
        <v>22</v>
      </c>
      <c r="J63">
        <v>27</v>
      </c>
      <c r="K63" t="s">
        <v>50</v>
      </c>
      <c r="L63" t="s">
        <v>50</v>
      </c>
      <c r="M63">
        <v>0.11</v>
      </c>
    </row>
    <row r="64" spans="1:13" hidden="1" x14ac:dyDescent="0.35">
      <c r="B64" t="e" vm="59">
        <v>#VALUE!</v>
      </c>
      <c r="C64">
        <v>747</v>
      </c>
      <c r="D64">
        <v>41.5</v>
      </c>
      <c r="E64">
        <v>17.7</v>
      </c>
      <c r="F64">
        <v>31.4</v>
      </c>
      <c r="G64">
        <v>273</v>
      </c>
      <c r="H64">
        <v>2</v>
      </c>
      <c r="I64">
        <v>21</v>
      </c>
      <c r="J64">
        <v>15</v>
      </c>
      <c r="K64" t="s">
        <v>50</v>
      </c>
      <c r="L64" t="s">
        <v>61</v>
      </c>
      <c r="M64">
        <v>1.34</v>
      </c>
    </row>
    <row r="65" spans="1:13" hidden="1" x14ac:dyDescent="0.35">
      <c r="A65" s="6">
        <f ca="1">TODAY()</f>
        <v>44643</v>
      </c>
      <c r="B65" t="e" vm="60">
        <v>#VALUE!</v>
      </c>
      <c r="C65">
        <v>52.5</v>
      </c>
      <c r="D65">
        <v>1.31</v>
      </c>
      <c r="E65">
        <v>41.4</v>
      </c>
      <c r="F65">
        <v>30</v>
      </c>
      <c r="G65">
        <v>7</v>
      </c>
      <c r="H65">
        <v>1</v>
      </c>
      <c r="I65">
        <v>21</v>
      </c>
      <c r="J65">
        <v>56</v>
      </c>
      <c r="K65" t="s">
        <v>50</v>
      </c>
      <c r="L65" t="s">
        <v>50</v>
      </c>
      <c r="M65">
        <v>0.69</v>
      </c>
    </row>
    <row r="66" spans="1:13" hidden="1" x14ac:dyDescent="0.35">
      <c r="B66" t="e" vm="61">
        <v>#VALUE!</v>
      </c>
      <c r="C66">
        <v>2990</v>
      </c>
      <c r="D66">
        <v>52.2</v>
      </c>
      <c r="E66">
        <v>57.2</v>
      </c>
      <c r="F66">
        <v>31.4</v>
      </c>
      <c r="G66">
        <v>378</v>
      </c>
      <c r="H66">
        <v>1</v>
      </c>
      <c r="I66">
        <v>21</v>
      </c>
      <c r="J66">
        <v>30</v>
      </c>
      <c r="K66" t="s">
        <v>50</v>
      </c>
      <c r="L66" t="s">
        <v>50</v>
      </c>
      <c r="M66">
        <v>0.17</v>
      </c>
    </row>
    <row r="67" spans="1:13" x14ac:dyDescent="0.35">
      <c r="A67" s="6">
        <f t="shared" ref="A67:A74" ca="1" si="2">TODAY()</f>
        <v>44643</v>
      </c>
      <c r="B67" t="e" vm="62">
        <v>#VALUE!</v>
      </c>
      <c r="C67">
        <v>146</v>
      </c>
      <c r="D67">
        <v>22.4</v>
      </c>
      <c r="E67">
        <v>6.54</v>
      </c>
      <c r="F67">
        <v>20.7</v>
      </c>
      <c r="G67">
        <v>65.5</v>
      </c>
      <c r="H67">
        <v>10</v>
      </c>
      <c r="I67">
        <v>20</v>
      </c>
      <c r="J67">
        <v>-15</v>
      </c>
      <c r="K67" t="s">
        <v>61</v>
      </c>
      <c r="L67" t="s">
        <v>50</v>
      </c>
      <c r="M67">
        <v>10.9</v>
      </c>
    </row>
    <row r="68" spans="1:13" hidden="1" x14ac:dyDescent="0.35">
      <c r="A68" s="6">
        <f t="shared" ca="1" si="2"/>
        <v>44643</v>
      </c>
      <c r="B68" t="e" vm="63">
        <v>#VALUE!</v>
      </c>
      <c r="C68">
        <v>605</v>
      </c>
      <c r="D68">
        <v>12.7</v>
      </c>
      <c r="E68">
        <v>47.7</v>
      </c>
      <c r="F68">
        <v>22.8</v>
      </c>
      <c r="G68">
        <v>176</v>
      </c>
      <c r="H68">
        <v>5</v>
      </c>
      <c r="I68">
        <v>20</v>
      </c>
      <c r="J68">
        <v>11</v>
      </c>
      <c r="K68" t="s">
        <v>50</v>
      </c>
      <c r="L68" t="s">
        <v>50</v>
      </c>
      <c r="M68">
        <v>0.83</v>
      </c>
    </row>
    <row r="69" spans="1:13" hidden="1" x14ac:dyDescent="0.35">
      <c r="A69" s="6">
        <f t="shared" ca="1" si="2"/>
        <v>44643</v>
      </c>
      <c r="B69" t="e" vm="64">
        <v>#VALUE!</v>
      </c>
      <c r="C69">
        <v>724</v>
      </c>
      <c r="D69">
        <v>89</v>
      </c>
      <c r="E69">
        <v>8.1300000000000008</v>
      </c>
      <c r="F69">
        <v>29.3</v>
      </c>
      <c r="G69">
        <v>400</v>
      </c>
      <c r="H69">
        <v>1</v>
      </c>
      <c r="I69">
        <v>20</v>
      </c>
      <c r="J69">
        <v>30</v>
      </c>
      <c r="K69" t="s">
        <v>50</v>
      </c>
      <c r="L69" t="s">
        <v>50</v>
      </c>
      <c r="M69">
        <v>0.55000000000000004</v>
      </c>
    </row>
    <row r="70" spans="1:13" hidden="1" x14ac:dyDescent="0.35">
      <c r="A70" s="6">
        <f t="shared" ca="1" si="2"/>
        <v>44643</v>
      </c>
      <c r="B70" t="e" vm="65">
        <v>#VALUE!</v>
      </c>
      <c r="C70">
        <v>2368</v>
      </c>
      <c r="D70">
        <v>37.6</v>
      </c>
      <c r="E70">
        <v>63</v>
      </c>
      <c r="F70">
        <v>28.9</v>
      </c>
      <c r="G70">
        <v>187</v>
      </c>
      <c r="H70">
        <v>2</v>
      </c>
      <c r="I70">
        <v>20</v>
      </c>
      <c r="J70">
        <v>30</v>
      </c>
      <c r="K70" t="s">
        <v>50</v>
      </c>
      <c r="L70" t="s">
        <v>50</v>
      </c>
      <c r="M70">
        <v>0.25</v>
      </c>
    </row>
    <row r="71" spans="1:13" x14ac:dyDescent="0.35">
      <c r="A71" s="6">
        <f t="shared" ca="1" si="2"/>
        <v>44643</v>
      </c>
      <c r="B71" t="s">
        <v>100</v>
      </c>
      <c r="C71">
        <v>702</v>
      </c>
      <c r="D71">
        <v>7.05</v>
      </c>
      <c r="E71">
        <v>100</v>
      </c>
      <c r="F71">
        <v>54</v>
      </c>
      <c r="G71">
        <v>35.200000000000003</v>
      </c>
      <c r="H71">
        <v>10</v>
      </c>
      <c r="I71">
        <v>20</v>
      </c>
      <c r="J71">
        <v>40</v>
      </c>
      <c r="K71" t="s">
        <v>50</v>
      </c>
      <c r="L71" t="s">
        <v>50</v>
      </c>
      <c r="M71">
        <v>0.17</v>
      </c>
    </row>
    <row r="72" spans="1:13" hidden="1" x14ac:dyDescent="0.35">
      <c r="A72" s="6">
        <f t="shared" ca="1" si="2"/>
        <v>44643</v>
      </c>
      <c r="B72" t="e" vm="66">
        <v>#VALUE!</v>
      </c>
      <c r="C72">
        <v>361</v>
      </c>
      <c r="D72">
        <v>5.37</v>
      </c>
      <c r="E72">
        <v>63.6</v>
      </c>
      <c r="F72">
        <v>29.3</v>
      </c>
      <c r="G72">
        <v>65.7</v>
      </c>
      <c r="H72">
        <v>5</v>
      </c>
      <c r="I72">
        <v>20</v>
      </c>
      <c r="J72">
        <v>18</v>
      </c>
      <c r="K72" t="s">
        <v>50</v>
      </c>
      <c r="L72" t="s">
        <v>50</v>
      </c>
      <c r="M72">
        <v>0</v>
      </c>
    </row>
    <row r="73" spans="1:13" x14ac:dyDescent="0.35">
      <c r="A73" s="6">
        <f t="shared" ca="1" si="2"/>
        <v>44643</v>
      </c>
      <c r="B73" t="e" vm="67">
        <v>#VALUE!</v>
      </c>
      <c r="C73">
        <v>922</v>
      </c>
      <c r="E73">
        <v>11</v>
      </c>
      <c r="F73">
        <v>84.1</v>
      </c>
      <c r="G73">
        <v>25.7</v>
      </c>
      <c r="H73">
        <v>10</v>
      </c>
      <c r="I73">
        <v>20</v>
      </c>
      <c r="J73">
        <v>8</v>
      </c>
      <c r="K73" t="s">
        <v>50</v>
      </c>
      <c r="L73" t="s">
        <v>50</v>
      </c>
      <c r="M73">
        <v>0</v>
      </c>
    </row>
    <row r="74" spans="1:13" hidden="1" x14ac:dyDescent="0.35">
      <c r="A74" s="6">
        <f t="shared" ca="1" si="2"/>
        <v>44643</v>
      </c>
      <c r="B74" t="e" vm="68">
        <v>#VALUE!</v>
      </c>
      <c r="C74">
        <v>43.8</v>
      </c>
      <c r="D74">
        <v>3.62</v>
      </c>
      <c r="E74">
        <v>12.1</v>
      </c>
      <c r="F74">
        <v>32.299999999999997</v>
      </c>
      <c r="G74">
        <v>25.9</v>
      </c>
      <c r="H74">
        <v>2</v>
      </c>
      <c r="I74">
        <v>20</v>
      </c>
      <c r="J74">
        <v>5</v>
      </c>
      <c r="K74" t="s">
        <v>50</v>
      </c>
      <c r="L74" t="s">
        <v>50</v>
      </c>
      <c r="M74">
        <v>0</v>
      </c>
    </row>
    <row r="75" spans="1:13" hidden="1" x14ac:dyDescent="0.35">
      <c r="B75" t="e" vm="69">
        <v>#VALUE!</v>
      </c>
      <c r="C75">
        <v>1800</v>
      </c>
      <c r="D75">
        <v>52.5</v>
      </c>
      <c r="E75">
        <v>34.4</v>
      </c>
      <c r="F75">
        <v>41.8</v>
      </c>
      <c r="G75">
        <v>259</v>
      </c>
      <c r="H75">
        <v>5</v>
      </c>
      <c r="I75">
        <v>19</v>
      </c>
      <c r="J75">
        <v>35</v>
      </c>
      <c r="K75" t="s">
        <v>50</v>
      </c>
      <c r="L75" t="s">
        <v>61</v>
      </c>
      <c r="M75">
        <v>0.83</v>
      </c>
    </row>
    <row r="76" spans="1:13" hidden="1" x14ac:dyDescent="0.35">
      <c r="A76" s="6">
        <f t="shared" ref="A76:A94" ca="1" si="3">TODAY()</f>
        <v>44643</v>
      </c>
      <c r="B76" t="e" vm="70">
        <v>#VALUE!</v>
      </c>
      <c r="C76">
        <v>3366</v>
      </c>
      <c r="D76">
        <v>33.9</v>
      </c>
      <c r="E76">
        <v>99.1</v>
      </c>
      <c r="F76">
        <v>83</v>
      </c>
      <c r="G76">
        <v>130</v>
      </c>
      <c r="H76">
        <v>1</v>
      </c>
      <c r="I76">
        <v>19</v>
      </c>
      <c r="J76">
        <v>30</v>
      </c>
      <c r="K76" t="s">
        <v>50</v>
      </c>
      <c r="L76" t="s">
        <v>50</v>
      </c>
      <c r="M76">
        <v>0.53</v>
      </c>
    </row>
    <row r="77" spans="1:13" x14ac:dyDescent="0.35">
      <c r="A77" s="6">
        <f t="shared" ca="1" si="3"/>
        <v>44643</v>
      </c>
      <c r="B77" t="e" vm="71">
        <v>#VALUE!</v>
      </c>
      <c r="C77">
        <v>861</v>
      </c>
      <c r="D77">
        <v>15.2</v>
      </c>
      <c r="E77">
        <v>56.7</v>
      </c>
      <c r="F77">
        <v>41.5</v>
      </c>
      <c r="G77">
        <v>91.5</v>
      </c>
      <c r="H77">
        <v>10</v>
      </c>
      <c r="I77">
        <v>19</v>
      </c>
      <c r="J77">
        <v>35</v>
      </c>
      <c r="K77" t="s">
        <v>50</v>
      </c>
      <c r="L77" t="s">
        <v>50</v>
      </c>
      <c r="M77">
        <v>0.28999999999999998</v>
      </c>
    </row>
    <row r="78" spans="1:13" x14ac:dyDescent="0.35">
      <c r="A78" s="6">
        <f t="shared" ca="1" si="3"/>
        <v>44643</v>
      </c>
      <c r="B78" t="e" vm="72">
        <v>#VALUE!</v>
      </c>
      <c r="C78">
        <v>1644</v>
      </c>
      <c r="D78">
        <v>15.6</v>
      </c>
      <c r="E78">
        <v>105</v>
      </c>
      <c r="F78">
        <v>28.9</v>
      </c>
      <c r="G78">
        <v>84</v>
      </c>
      <c r="H78">
        <v>10</v>
      </c>
      <c r="I78">
        <v>19</v>
      </c>
      <c r="J78">
        <v>126</v>
      </c>
      <c r="K78" t="s">
        <v>50</v>
      </c>
      <c r="L78" t="s">
        <v>50</v>
      </c>
      <c r="M78">
        <v>0.14000000000000001</v>
      </c>
    </row>
    <row r="79" spans="1:13" hidden="1" x14ac:dyDescent="0.35">
      <c r="A79" s="6">
        <f t="shared" ca="1" si="3"/>
        <v>44643</v>
      </c>
      <c r="B79" t="e" vm="73">
        <v>#VALUE!</v>
      </c>
      <c r="C79">
        <v>507</v>
      </c>
      <c r="D79">
        <v>9.2200000000000006</v>
      </c>
      <c r="E79">
        <v>54.3</v>
      </c>
      <c r="F79">
        <v>36.1</v>
      </c>
      <c r="G79">
        <v>30.5</v>
      </c>
      <c r="H79">
        <v>1</v>
      </c>
      <c r="I79">
        <v>18</v>
      </c>
      <c r="J79">
        <v>14</v>
      </c>
      <c r="K79" t="s">
        <v>50</v>
      </c>
      <c r="L79" t="s">
        <v>50</v>
      </c>
      <c r="M79">
        <v>1.48</v>
      </c>
    </row>
    <row r="80" spans="1:13" x14ac:dyDescent="0.35">
      <c r="A80" s="6">
        <f t="shared" ca="1" si="3"/>
        <v>44643</v>
      </c>
      <c r="B80" t="e" vm="74">
        <v>#VALUE!</v>
      </c>
      <c r="C80">
        <v>3346</v>
      </c>
      <c r="D80">
        <v>70.8</v>
      </c>
      <c r="E80">
        <v>47.4</v>
      </c>
      <c r="F80">
        <v>36</v>
      </c>
      <c r="G80">
        <v>323</v>
      </c>
      <c r="H80">
        <v>10</v>
      </c>
      <c r="I80">
        <v>18</v>
      </c>
      <c r="J80">
        <v>50</v>
      </c>
      <c r="K80" t="s">
        <v>50</v>
      </c>
      <c r="L80" t="s">
        <v>50</v>
      </c>
      <c r="M80">
        <v>1.1399999999999999</v>
      </c>
    </row>
    <row r="81" spans="1:13" hidden="1" x14ac:dyDescent="0.35">
      <c r="A81" s="6">
        <f t="shared" ca="1" si="3"/>
        <v>44643</v>
      </c>
      <c r="B81" t="e" vm="75">
        <v>#VALUE!</v>
      </c>
      <c r="C81">
        <v>4905</v>
      </c>
      <c r="D81">
        <v>118</v>
      </c>
      <c r="E81">
        <v>41.6</v>
      </c>
      <c r="F81">
        <v>29.3</v>
      </c>
      <c r="G81">
        <v>1114</v>
      </c>
      <c r="H81">
        <v>5</v>
      </c>
      <c r="I81">
        <v>18</v>
      </c>
      <c r="J81">
        <v>20</v>
      </c>
      <c r="K81" t="s">
        <v>50</v>
      </c>
      <c r="L81" t="s">
        <v>50</v>
      </c>
      <c r="M81">
        <v>0.51</v>
      </c>
    </row>
    <row r="82" spans="1:13" x14ac:dyDescent="0.35">
      <c r="A82" s="6">
        <f t="shared" ca="1" si="3"/>
        <v>44643</v>
      </c>
      <c r="B82" t="e" vm="76">
        <v>#VALUE!</v>
      </c>
      <c r="C82">
        <v>131</v>
      </c>
      <c r="D82">
        <v>-3.44</v>
      </c>
      <c r="F82">
        <v>17.5</v>
      </c>
      <c r="G82">
        <v>211</v>
      </c>
      <c r="H82">
        <v>10</v>
      </c>
      <c r="I82">
        <v>18</v>
      </c>
      <c r="J82">
        <v>-40</v>
      </c>
      <c r="K82" t="s">
        <v>61</v>
      </c>
      <c r="L82" t="s">
        <v>50</v>
      </c>
      <c r="M82">
        <v>0</v>
      </c>
    </row>
    <row r="83" spans="1:13" hidden="1" x14ac:dyDescent="0.35">
      <c r="A83" s="6">
        <f t="shared" ca="1" si="3"/>
        <v>44643</v>
      </c>
      <c r="B83" t="e" vm="77">
        <v>#VALUE!</v>
      </c>
      <c r="C83">
        <v>218</v>
      </c>
      <c r="D83">
        <v>4.55</v>
      </c>
      <c r="E83">
        <v>44.7</v>
      </c>
      <c r="F83">
        <v>40.799999999999997</v>
      </c>
      <c r="G83">
        <v>66.599999999999994</v>
      </c>
      <c r="H83">
        <v>1</v>
      </c>
      <c r="I83">
        <v>17.5</v>
      </c>
      <c r="J83">
        <v>30</v>
      </c>
      <c r="K83" t="s">
        <v>50</v>
      </c>
      <c r="L83" t="s">
        <v>50</v>
      </c>
      <c r="M83">
        <v>0.71</v>
      </c>
    </row>
    <row r="84" spans="1:13" x14ac:dyDescent="0.35">
      <c r="A84" s="6">
        <f t="shared" ca="1" si="3"/>
        <v>44643</v>
      </c>
      <c r="B84" t="e" vm="78">
        <v>#VALUE!</v>
      </c>
      <c r="C84">
        <v>702</v>
      </c>
      <c r="D84">
        <v>23.4</v>
      </c>
      <c r="E84">
        <v>30</v>
      </c>
      <c r="F84">
        <v>27.9</v>
      </c>
      <c r="G84">
        <v>101</v>
      </c>
      <c r="H84">
        <v>10</v>
      </c>
      <c r="I84">
        <v>17</v>
      </c>
      <c r="J84">
        <v>135</v>
      </c>
      <c r="K84" t="s">
        <v>50</v>
      </c>
      <c r="L84" t="s">
        <v>50</v>
      </c>
      <c r="M84">
        <v>0.5</v>
      </c>
    </row>
    <row r="85" spans="1:13" x14ac:dyDescent="0.35">
      <c r="A85" s="6">
        <f t="shared" ca="1" si="3"/>
        <v>44643</v>
      </c>
      <c r="B85" t="e" vm="79">
        <v>#VALUE!</v>
      </c>
      <c r="C85">
        <v>4811</v>
      </c>
      <c r="D85">
        <v>74.8</v>
      </c>
      <c r="E85">
        <v>64.3</v>
      </c>
      <c r="F85">
        <v>36</v>
      </c>
      <c r="G85">
        <v>405</v>
      </c>
      <c r="H85">
        <v>10</v>
      </c>
      <c r="I85">
        <v>17</v>
      </c>
      <c r="J85">
        <v>51</v>
      </c>
      <c r="K85" t="s">
        <v>50</v>
      </c>
      <c r="L85" t="s">
        <v>50</v>
      </c>
      <c r="M85">
        <v>0.42</v>
      </c>
    </row>
    <row r="86" spans="1:13" hidden="1" x14ac:dyDescent="0.35">
      <c r="A86" s="6">
        <f t="shared" ca="1" si="3"/>
        <v>44643</v>
      </c>
      <c r="B86" t="e" vm="80">
        <v>#VALUE!</v>
      </c>
      <c r="C86">
        <v>148</v>
      </c>
      <c r="D86">
        <v>7.24</v>
      </c>
      <c r="E86">
        <v>20.399999999999999</v>
      </c>
      <c r="F86">
        <v>30</v>
      </c>
      <c r="G86">
        <v>37.700000000000003</v>
      </c>
      <c r="H86">
        <v>1</v>
      </c>
      <c r="I86">
        <v>17</v>
      </c>
      <c r="J86">
        <v>50</v>
      </c>
      <c r="K86" t="s">
        <v>50</v>
      </c>
      <c r="L86" t="s">
        <v>50</v>
      </c>
      <c r="M86">
        <v>0.1</v>
      </c>
    </row>
    <row r="87" spans="1:13" hidden="1" x14ac:dyDescent="0.35">
      <c r="A87" s="6">
        <f t="shared" ca="1" si="3"/>
        <v>44643</v>
      </c>
      <c r="B87" t="e" vm="81">
        <v>#VALUE!</v>
      </c>
      <c r="C87">
        <v>1886</v>
      </c>
      <c r="D87">
        <v>62.3</v>
      </c>
      <c r="E87">
        <v>30.5</v>
      </c>
      <c r="F87">
        <v>17.3</v>
      </c>
      <c r="G87">
        <v>545</v>
      </c>
      <c r="H87">
        <v>2</v>
      </c>
      <c r="I87">
        <v>16.5</v>
      </c>
      <c r="J87">
        <v>16</v>
      </c>
      <c r="K87" t="s">
        <v>50</v>
      </c>
      <c r="L87" t="s">
        <v>50</v>
      </c>
      <c r="M87">
        <v>0.95</v>
      </c>
    </row>
    <row r="88" spans="1:13" x14ac:dyDescent="0.35">
      <c r="A88" s="6">
        <f t="shared" ca="1" si="3"/>
        <v>44643</v>
      </c>
      <c r="B88" t="e" vm="82">
        <v>#VALUE!</v>
      </c>
      <c r="C88">
        <v>2359</v>
      </c>
      <c r="D88">
        <v>82.5</v>
      </c>
      <c r="E88">
        <v>30.8</v>
      </c>
      <c r="F88">
        <v>5.03</v>
      </c>
      <c r="G88">
        <v>1097</v>
      </c>
      <c r="H88">
        <v>10</v>
      </c>
      <c r="I88">
        <v>16.399999999999999</v>
      </c>
      <c r="J88">
        <v>30</v>
      </c>
      <c r="K88" t="s">
        <v>50</v>
      </c>
      <c r="L88" t="s">
        <v>50</v>
      </c>
      <c r="M88">
        <v>0.3</v>
      </c>
    </row>
    <row r="89" spans="1:13" x14ac:dyDescent="0.35">
      <c r="A89" s="6">
        <f t="shared" ca="1" si="3"/>
        <v>44643</v>
      </c>
      <c r="B89" t="e" vm="83">
        <v>#VALUE!</v>
      </c>
      <c r="C89">
        <v>103</v>
      </c>
      <c r="D89">
        <v>21</v>
      </c>
      <c r="E89">
        <v>5.37</v>
      </c>
      <c r="F89">
        <v>28.8</v>
      </c>
      <c r="G89">
        <v>74.599999999999994</v>
      </c>
      <c r="H89">
        <v>10</v>
      </c>
      <c r="I89">
        <v>16</v>
      </c>
      <c r="J89">
        <v>40</v>
      </c>
      <c r="K89" t="s">
        <v>50</v>
      </c>
      <c r="L89" t="s">
        <v>50</v>
      </c>
      <c r="M89">
        <v>2.4300000000000002</v>
      </c>
    </row>
    <row r="90" spans="1:13" x14ac:dyDescent="0.35">
      <c r="A90" s="6">
        <f t="shared" ca="1" si="3"/>
        <v>44643</v>
      </c>
      <c r="B90" t="e" vm="84">
        <v>#VALUE!</v>
      </c>
      <c r="C90">
        <v>183</v>
      </c>
      <c r="D90">
        <v>6.28</v>
      </c>
      <c r="E90">
        <v>25.4</v>
      </c>
      <c r="F90">
        <v>36</v>
      </c>
      <c r="G90">
        <v>42</v>
      </c>
      <c r="H90">
        <v>10</v>
      </c>
      <c r="I90">
        <v>16</v>
      </c>
      <c r="J90">
        <v>40</v>
      </c>
      <c r="K90" t="s">
        <v>50</v>
      </c>
      <c r="L90" t="s">
        <v>50</v>
      </c>
      <c r="M90">
        <v>1.64</v>
      </c>
    </row>
    <row r="91" spans="1:13" x14ac:dyDescent="0.35">
      <c r="A91" s="6">
        <f t="shared" ca="1" si="3"/>
        <v>44643</v>
      </c>
      <c r="B91" t="e" vm="85">
        <v>#VALUE!</v>
      </c>
      <c r="C91">
        <v>884</v>
      </c>
      <c r="D91">
        <v>26.8</v>
      </c>
      <c r="E91">
        <v>32.700000000000003</v>
      </c>
      <c r="F91">
        <v>28.9</v>
      </c>
      <c r="G91">
        <v>642</v>
      </c>
      <c r="H91">
        <v>10</v>
      </c>
      <c r="I91">
        <v>16</v>
      </c>
      <c r="J91">
        <v>30</v>
      </c>
      <c r="K91" t="s">
        <v>50</v>
      </c>
      <c r="L91" t="s">
        <v>50</v>
      </c>
      <c r="M91">
        <v>1.1299999999999999</v>
      </c>
    </row>
    <row r="92" spans="1:13" hidden="1" x14ac:dyDescent="0.35">
      <c r="A92" s="6">
        <f t="shared" ca="1" si="3"/>
        <v>44643</v>
      </c>
      <c r="B92" t="e" vm="86">
        <v>#VALUE!</v>
      </c>
      <c r="C92">
        <v>966</v>
      </c>
      <c r="D92">
        <v>21.9</v>
      </c>
      <c r="E92">
        <v>45.5</v>
      </c>
      <c r="F92">
        <v>51</v>
      </c>
      <c r="G92">
        <v>115</v>
      </c>
      <c r="H92">
        <v>1</v>
      </c>
      <c r="I92">
        <v>16</v>
      </c>
      <c r="J92">
        <v>16</v>
      </c>
      <c r="K92" t="s">
        <v>50</v>
      </c>
      <c r="L92" t="s">
        <v>50</v>
      </c>
      <c r="M92">
        <v>0.52</v>
      </c>
    </row>
    <row r="93" spans="1:13" x14ac:dyDescent="0.35">
      <c r="A93" s="6">
        <f t="shared" ca="1" si="3"/>
        <v>44643</v>
      </c>
      <c r="B93" t="s">
        <v>93</v>
      </c>
      <c r="C93">
        <v>2</v>
      </c>
      <c r="D93">
        <v>-1.05</v>
      </c>
      <c r="F93">
        <v>54.2</v>
      </c>
      <c r="G93">
        <v>-1.36</v>
      </c>
      <c r="H93">
        <v>10</v>
      </c>
      <c r="I93">
        <v>16</v>
      </c>
      <c r="J93">
        <v>36</v>
      </c>
      <c r="K93" t="s">
        <v>61</v>
      </c>
      <c r="L93" t="s">
        <v>61</v>
      </c>
      <c r="M93">
        <v>0</v>
      </c>
    </row>
    <row r="94" spans="1:13" hidden="1" x14ac:dyDescent="0.35">
      <c r="A94" s="6">
        <f t="shared" ca="1" si="3"/>
        <v>44643</v>
      </c>
      <c r="B94" t="s">
        <v>87</v>
      </c>
      <c r="C94">
        <v>10.5</v>
      </c>
      <c r="D94">
        <v>0.22</v>
      </c>
      <c r="E94">
        <v>47.6</v>
      </c>
      <c r="F94">
        <v>8.2100000000000009</v>
      </c>
      <c r="G94">
        <v>1.77</v>
      </c>
      <c r="H94">
        <v>1</v>
      </c>
      <c r="I94">
        <v>16</v>
      </c>
      <c r="J94">
        <v>40</v>
      </c>
      <c r="K94" t="s">
        <v>50</v>
      </c>
      <c r="L94" t="s">
        <v>50</v>
      </c>
      <c r="M94">
        <v>0</v>
      </c>
    </row>
    <row r="95" spans="1:13" hidden="1" x14ac:dyDescent="0.35">
      <c r="B95" t="e" vm="87">
        <v>#VALUE!</v>
      </c>
      <c r="C95">
        <v>419</v>
      </c>
      <c r="D95">
        <v>14.5</v>
      </c>
      <c r="E95">
        <v>30.1</v>
      </c>
      <c r="F95">
        <v>22.6</v>
      </c>
      <c r="G95">
        <v>73</v>
      </c>
      <c r="H95">
        <v>1</v>
      </c>
      <c r="I95">
        <v>15.8</v>
      </c>
      <c r="J95">
        <v>20</v>
      </c>
      <c r="K95" t="s">
        <v>50</v>
      </c>
      <c r="L95" t="s">
        <v>50</v>
      </c>
      <c r="M95">
        <v>0.42</v>
      </c>
    </row>
    <row r="96" spans="1:13" x14ac:dyDescent="0.35">
      <c r="A96" s="6">
        <f ca="1">TODAY()</f>
        <v>44643</v>
      </c>
      <c r="B96" t="e" vm="88">
        <v>#VALUE!</v>
      </c>
      <c r="C96">
        <v>63.8</v>
      </c>
      <c r="D96">
        <v>5.3</v>
      </c>
      <c r="E96">
        <v>11.6</v>
      </c>
      <c r="F96">
        <v>8.02</v>
      </c>
      <c r="G96">
        <v>23.8</v>
      </c>
      <c r="H96">
        <v>10</v>
      </c>
      <c r="I96">
        <v>15.5</v>
      </c>
      <c r="J96">
        <v>44</v>
      </c>
      <c r="K96" t="s">
        <v>50</v>
      </c>
      <c r="L96" t="s">
        <v>50</v>
      </c>
      <c r="M96">
        <v>0</v>
      </c>
    </row>
    <row r="97" spans="1:13" x14ac:dyDescent="0.35">
      <c r="A97" s="6">
        <f ca="1">TODAY()</f>
        <v>44643</v>
      </c>
      <c r="B97" t="e" vm="89">
        <v>#VALUE!</v>
      </c>
      <c r="C97">
        <v>152</v>
      </c>
      <c r="D97">
        <v>12</v>
      </c>
      <c r="E97">
        <v>12</v>
      </c>
      <c r="F97">
        <v>28.9</v>
      </c>
      <c r="G97">
        <v>73</v>
      </c>
      <c r="H97">
        <v>10</v>
      </c>
      <c r="I97">
        <v>15.4</v>
      </c>
      <c r="J97">
        <v>-4</v>
      </c>
      <c r="K97" t="s">
        <v>61</v>
      </c>
      <c r="L97" t="s">
        <v>50</v>
      </c>
      <c r="M97">
        <v>1.1499999999999999</v>
      </c>
    </row>
    <row r="98" spans="1:13" x14ac:dyDescent="0.35">
      <c r="B98" t="e" vm="90">
        <v>#VALUE!</v>
      </c>
      <c r="C98">
        <v>214</v>
      </c>
      <c r="D98">
        <v>19.7</v>
      </c>
      <c r="E98">
        <v>10.9</v>
      </c>
      <c r="F98">
        <v>10.5</v>
      </c>
      <c r="G98">
        <v>83.9</v>
      </c>
      <c r="H98">
        <v>10</v>
      </c>
      <c r="I98">
        <v>14</v>
      </c>
      <c r="J98">
        <v>4</v>
      </c>
      <c r="K98" t="s">
        <v>50</v>
      </c>
      <c r="L98" t="s">
        <v>50</v>
      </c>
      <c r="M98">
        <v>1.63</v>
      </c>
    </row>
    <row r="99" spans="1:13" hidden="1" x14ac:dyDescent="0.35">
      <c r="B99" t="e" vm="91">
        <v>#VALUE!</v>
      </c>
      <c r="C99">
        <v>1756</v>
      </c>
      <c r="D99">
        <v>41.9</v>
      </c>
      <c r="E99">
        <v>42</v>
      </c>
      <c r="F99">
        <v>26.1</v>
      </c>
      <c r="G99">
        <v>249</v>
      </c>
      <c r="H99">
        <v>5</v>
      </c>
      <c r="I99">
        <v>14</v>
      </c>
      <c r="J99">
        <v>24</v>
      </c>
      <c r="K99" t="s">
        <v>50</v>
      </c>
      <c r="L99" t="s">
        <v>50</v>
      </c>
      <c r="M99">
        <v>0.28000000000000003</v>
      </c>
    </row>
    <row r="100" spans="1:13" hidden="1" x14ac:dyDescent="0.35">
      <c r="A100" s="6">
        <f t="shared" ref="A100:A109" ca="1" si="4">TODAY()</f>
        <v>44643</v>
      </c>
      <c r="B100" t="e" vm="92">
        <v>#VALUE!</v>
      </c>
      <c r="C100">
        <v>76.8</v>
      </c>
      <c r="D100">
        <v>13.8</v>
      </c>
      <c r="E100">
        <v>5.56</v>
      </c>
      <c r="F100">
        <v>11.9</v>
      </c>
      <c r="G100">
        <v>144</v>
      </c>
      <c r="H100">
        <v>2</v>
      </c>
      <c r="I100">
        <v>13</v>
      </c>
      <c r="J100">
        <v>22</v>
      </c>
      <c r="K100" t="s">
        <v>50</v>
      </c>
      <c r="L100" t="s">
        <v>50</v>
      </c>
      <c r="M100">
        <v>3.91</v>
      </c>
    </row>
    <row r="101" spans="1:13" hidden="1" x14ac:dyDescent="0.35">
      <c r="A101" s="6">
        <f t="shared" ca="1" si="4"/>
        <v>44643</v>
      </c>
      <c r="B101" t="e" vm="93">
        <v>#VALUE!</v>
      </c>
      <c r="C101">
        <v>140</v>
      </c>
      <c r="D101">
        <v>28.6</v>
      </c>
      <c r="E101">
        <v>5.13</v>
      </c>
      <c r="F101">
        <v>21.4</v>
      </c>
      <c r="G101">
        <v>197</v>
      </c>
      <c r="H101">
        <v>5</v>
      </c>
      <c r="I101">
        <v>13</v>
      </c>
      <c r="J101">
        <v>-2</v>
      </c>
      <c r="K101" t="s">
        <v>61</v>
      </c>
      <c r="L101" t="s">
        <v>50</v>
      </c>
      <c r="M101">
        <v>3.91</v>
      </c>
    </row>
    <row r="102" spans="1:13" x14ac:dyDescent="0.35">
      <c r="A102" s="6">
        <f t="shared" ca="1" si="4"/>
        <v>44643</v>
      </c>
      <c r="B102" t="e" vm="94">
        <v>#VALUE!</v>
      </c>
      <c r="C102">
        <v>104</v>
      </c>
      <c r="D102">
        <v>9.1999999999999993</v>
      </c>
      <c r="E102">
        <v>11.3</v>
      </c>
      <c r="F102">
        <v>29.2</v>
      </c>
      <c r="G102">
        <v>105</v>
      </c>
      <c r="H102">
        <v>10</v>
      </c>
      <c r="I102">
        <v>13</v>
      </c>
      <c r="J102">
        <v>13</v>
      </c>
      <c r="K102" t="s">
        <v>50</v>
      </c>
      <c r="L102" t="s">
        <v>50</v>
      </c>
      <c r="M102">
        <v>0.96</v>
      </c>
    </row>
    <row r="103" spans="1:13" hidden="1" x14ac:dyDescent="0.35">
      <c r="A103" s="6">
        <f t="shared" ca="1" si="4"/>
        <v>44643</v>
      </c>
      <c r="B103" t="e" vm="95">
        <v>#VALUE!</v>
      </c>
      <c r="C103">
        <v>575</v>
      </c>
      <c r="D103">
        <v>17.8</v>
      </c>
      <c r="E103">
        <v>32.6</v>
      </c>
      <c r="F103">
        <v>27.7</v>
      </c>
      <c r="G103">
        <v>65.400000000000006</v>
      </c>
      <c r="H103">
        <v>2</v>
      </c>
      <c r="I103">
        <v>13</v>
      </c>
      <c r="J103">
        <v>50</v>
      </c>
      <c r="K103" t="s">
        <v>50</v>
      </c>
      <c r="L103" t="s">
        <v>50</v>
      </c>
      <c r="M103">
        <v>0.87</v>
      </c>
    </row>
    <row r="104" spans="1:13" hidden="1" x14ac:dyDescent="0.35">
      <c r="A104" s="6">
        <f t="shared" ca="1" si="4"/>
        <v>44643</v>
      </c>
      <c r="B104" t="e" vm="96">
        <v>#VALUE!</v>
      </c>
      <c r="C104">
        <v>429</v>
      </c>
      <c r="D104">
        <v>7.82</v>
      </c>
      <c r="E104">
        <v>57</v>
      </c>
      <c r="F104">
        <v>28.9</v>
      </c>
      <c r="G104">
        <v>43.6</v>
      </c>
      <c r="H104">
        <v>2</v>
      </c>
      <c r="I104">
        <v>13</v>
      </c>
      <c r="K104" t="s">
        <v>50</v>
      </c>
      <c r="L104" t="s">
        <v>50</v>
      </c>
      <c r="M104">
        <v>0.12</v>
      </c>
    </row>
    <row r="105" spans="1:13" hidden="1" x14ac:dyDescent="0.35">
      <c r="A105" s="6">
        <f t="shared" ca="1" si="4"/>
        <v>44643</v>
      </c>
      <c r="B105" t="s">
        <v>95</v>
      </c>
      <c r="C105">
        <v>17.600000000000001</v>
      </c>
      <c r="D105">
        <v>-11.9</v>
      </c>
      <c r="F105">
        <v>8.2100000000000009</v>
      </c>
      <c r="G105">
        <v>25.5</v>
      </c>
      <c r="H105">
        <v>1</v>
      </c>
      <c r="I105">
        <v>13</v>
      </c>
      <c r="J105">
        <v>14</v>
      </c>
      <c r="K105" t="s">
        <v>61</v>
      </c>
      <c r="L105" t="s">
        <v>90</v>
      </c>
      <c r="M105">
        <v>0</v>
      </c>
    </row>
    <row r="106" spans="1:13" x14ac:dyDescent="0.35">
      <c r="A106" s="6">
        <f t="shared" ca="1" si="4"/>
        <v>44643</v>
      </c>
      <c r="B106" t="e" vm="97">
        <v>#VALUE!</v>
      </c>
      <c r="C106">
        <v>1771</v>
      </c>
      <c r="D106">
        <v>26</v>
      </c>
      <c r="E106">
        <v>74.5</v>
      </c>
      <c r="F106">
        <v>36</v>
      </c>
      <c r="G106">
        <v>115</v>
      </c>
      <c r="H106">
        <v>10</v>
      </c>
      <c r="I106">
        <v>12.6</v>
      </c>
      <c r="J106">
        <v>30</v>
      </c>
      <c r="K106" t="s">
        <v>50</v>
      </c>
      <c r="L106" t="s">
        <v>50</v>
      </c>
      <c r="M106">
        <v>0.11</v>
      </c>
    </row>
    <row r="107" spans="1:13" x14ac:dyDescent="0.35">
      <c r="A107" s="6">
        <f t="shared" ca="1" si="4"/>
        <v>44643</v>
      </c>
      <c r="B107" t="e" vm="98">
        <v>#VALUE!</v>
      </c>
      <c r="C107">
        <v>217</v>
      </c>
      <c r="D107">
        <v>20.5</v>
      </c>
      <c r="E107">
        <v>10.6</v>
      </c>
      <c r="F107">
        <v>13.5</v>
      </c>
      <c r="G107">
        <v>252</v>
      </c>
      <c r="H107">
        <v>10</v>
      </c>
      <c r="I107">
        <v>12.5</v>
      </c>
      <c r="J107">
        <v>-6</v>
      </c>
      <c r="K107" t="s">
        <v>61</v>
      </c>
      <c r="L107" t="s">
        <v>50</v>
      </c>
      <c r="M107">
        <v>2.31</v>
      </c>
    </row>
    <row r="108" spans="1:13" hidden="1" x14ac:dyDescent="0.35">
      <c r="A108" s="6">
        <f t="shared" ca="1" si="4"/>
        <v>44643</v>
      </c>
      <c r="B108" t="e" vm="99">
        <v>#VALUE!</v>
      </c>
      <c r="C108">
        <v>2432</v>
      </c>
      <c r="D108">
        <v>145</v>
      </c>
      <c r="E108">
        <v>16.7</v>
      </c>
      <c r="F108">
        <v>31.1</v>
      </c>
      <c r="G108">
        <v>787</v>
      </c>
      <c r="H108">
        <v>2</v>
      </c>
      <c r="I108">
        <v>12</v>
      </c>
      <c r="J108">
        <v>-8</v>
      </c>
      <c r="K108" t="s">
        <v>61</v>
      </c>
      <c r="L108" t="s">
        <v>50</v>
      </c>
      <c r="M108">
        <v>3.7</v>
      </c>
    </row>
    <row r="109" spans="1:13" hidden="1" x14ac:dyDescent="0.35">
      <c r="A109" s="6">
        <f t="shared" ca="1" si="4"/>
        <v>44643</v>
      </c>
      <c r="B109" t="e" vm="100">
        <v>#VALUE!</v>
      </c>
      <c r="C109">
        <v>728</v>
      </c>
      <c r="D109">
        <v>7.87</v>
      </c>
      <c r="E109">
        <v>86.5</v>
      </c>
      <c r="F109">
        <v>13.4</v>
      </c>
      <c r="G109">
        <v>158</v>
      </c>
      <c r="H109">
        <v>1</v>
      </c>
      <c r="I109">
        <v>12</v>
      </c>
      <c r="J109">
        <v>40</v>
      </c>
      <c r="K109" t="s">
        <v>50</v>
      </c>
      <c r="L109" t="s">
        <v>50</v>
      </c>
      <c r="M109">
        <v>0.56000000000000005</v>
      </c>
    </row>
    <row r="110" spans="1:13" hidden="1" x14ac:dyDescent="0.35">
      <c r="B110" t="e" vm="101">
        <v>#VALUE!</v>
      </c>
      <c r="C110">
        <v>1033</v>
      </c>
      <c r="D110">
        <v>1.94</v>
      </c>
      <c r="E110">
        <v>460</v>
      </c>
      <c r="F110">
        <v>234</v>
      </c>
      <c r="G110">
        <v>63.2</v>
      </c>
      <c r="H110">
        <v>1</v>
      </c>
      <c r="I110">
        <v>12</v>
      </c>
      <c r="J110">
        <v>40</v>
      </c>
      <c r="K110" t="s">
        <v>50</v>
      </c>
      <c r="L110" t="s">
        <v>61</v>
      </c>
      <c r="M110">
        <v>0.06</v>
      </c>
    </row>
    <row r="111" spans="1:13" x14ac:dyDescent="0.35">
      <c r="B111" t="e" vm="102">
        <v>#VALUE!</v>
      </c>
      <c r="C111">
        <v>973</v>
      </c>
      <c r="E111">
        <v>35.700000000000003</v>
      </c>
      <c r="F111">
        <v>51</v>
      </c>
      <c r="G111">
        <v>103</v>
      </c>
      <c r="H111">
        <v>10</v>
      </c>
      <c r="I111">
        <v>12</v>
      </c>
      <c r="K111" t="s">
        <v>50</v>
      </c>
      <c r="L111" t="s">
        <v>50</v>
      </c>
      <c r="M111">
        <v>0</v>
      </c>
    </row>
    <row r="112" spans="1:13" hidden="1" x14ac:dyDescent="0.35">
      <c r="A112" s="6">
        <f ca="1">TODAY()</f>
        <v>44643</v>
      </c>
      <c r="B112" t="e" vm="103">
        <v>#VALUE!</v>
      </c>
      <c r="C112">
        <v>470</v>
      </c>
      <c r="D112">
        <v>-40</v>
      </c>
      <c r="F112">
        <v>324</v>
      </c>
      <c r="G112">
        <v>135</v>
      </c>
      <c r="H112">
        <v>2</v>
      </c>
      <c r="I112">
        <v>11.9</v>
      </c>
      <c r="J112">
        <v>40</v>
      </c>
      <c r="K112" t="s">
        <v>50</v>
      </c>
      <c r="L112" t="s">
        <v>50</v>
      </c>
      <c r="M112">
        <v>0</v>
      </c>
    </row>
    <row r="113" spans="1:13" hidden="1" x14ac:dyDescent="0.35">
      <c r="B113" t="e" vm="104">
        <v>#VALUE!</v>
      </c>
      <c r="C113">
        <v>271</v>
      </c>
      <c r="D113">
        <v>9.9</v>
      </c>
      <c r="E113">
        <v>28.2</v>
      </c>
      <c r="F113">
        <v>31.4</v>
      </c>
      <c r="G113">
        <v>85.8</v>
      </c>
      <c r="H113">
        <v>1</v>
      </c>
      <c r="I113">
        <v>11.4</v>
      </c>
      <c r="J113">
        <v>15</v>
      </c>
      <c r="K113" t="s">
        <v>50</v>
      </c>
      <c r="L113" t="s">
        <v>50</v>
      </c>
      <c r="M113">
        <v>1.1100000000000001</v>
      </c>
    </row>
    <row r="114" spans="1:13" hidden="1" x14ac:dyDescent="0.35">
      <c r="A114" s="6">
        <f ca="1">TODAY()</f>
        <v>44643</v>
      </c>
      <c r="B114" t="e" vm="105">
        <v>#VALUE!</v>
      </c>
      <c r="C114">
        <v>74.45</v>
      </c>
      <c r="D114">
        <v>8.5</v>
      </c>
      <c r="E114">
        <v>8.77</v>
      </c>
      <c r="F114">
        <v>41.5</v>
      </c>
      <c r="G114">
        <v>58.9</v>
      </c>
      <c r="H114">
        <v>1</v>
      </c>
      <c r="I114">
        <v>11</v>
      </c>
      <c r="J114">
        <v>21</v>
      </c>
      <c r="K114" t="s">
        <v>50</v>
      </c>
      <c r="L114" t="s">
        <v>50</v>
      </c>
      <c r="M114">
        <v>1.34</v>
      </c>
    </row>
    <row r="115" spans="1:13" x14ac:dyDescent="0.35">
      <c r="A115" s="6">
        <f ca="1">TODAY()</f>
        <v>44643</v>
      </c>
      <c r="B115" t="e" vm="106">
        <v>#VALUE!</v>
      </c>
      <c r="C115">
        <v>268</v>
      </c>
      <c r="D115">
        <v>22.2</v>
      </c>
      <c r="E115">
        <v>12.1</v>
      </c>
      <c r="F115">
        <v>11.9</v>
      </c>
      <c r="G115">
        <v>92.2</v>
      </c>
      <c r="H115">
        <v>10</v>
      </c>
      <c r="I115">
        <v>11</v>
      </c>
      <c r="J115">
        <v>22</v>
      </c>
      <c r="K115" t="s">
        <v>50</v>
      </c>
      <c r="L115" t="s">
        <v>50</v>
      </c>
      <c r="M115">
        <v>0.75</v>
      </c>
    </row>
    <row r="116" spans="1:13" hidden="1" x14ac:dyDescent="0.35">
      <c r="A116" s="6">
        <f ca="1">TODAY()</f>
        <v>44643</v>
      </c>
      <c r="B116" t="e" vm="107">
        <v>#VALUE!</v>
      </c>
      <c r="C116">
        <v>121</v>
      </c>
      <c r="D116">
        <v>-0.04</v>
      </c>
      <c r="F116">
        <v>324</v>
      </c>
      <c r="G116">
        <v>25.4</v>
      </c>
      <c r="H116">
        <v>1</v>
      </c>
      <c r="I116">
        <v>11</v>
      </c>
      <c r="J116">
        <v>10</v>
      </c>
      <c r="K116" t="s">
        <v>50</v>
      </c>
      <c r="L116" t="s">
        <v>50</v>
      </c>
      <c r="M116">
        <v>0.5</v>
      </c>
    </row>
    <row r="117" spans="1:13" hidden="1" x14ac:dyDescent="0.35">
      <c r="A117" s="6">
        <f ca="1">TODAY()</f>
        <v>44643</v>
      </c>
      <c r="B117" t="s">
        <v>96</v>
      </c>
      <c r="C117">
        <v>42</v>
      </c>
      <c r="D117">
        <v>2.27</v>
      </c>
      <c r="E117">
        <v>18.5</v>
      </c>
      <c r="F117">
        <v>43</v>
      </c>
      <c r="G117">
        <v>27.3</v>
      </c>
      <c r="H117">
        <v>1</v>
      </c>
      <c r="I117">
        <v>10.7</v>
      </c>
      <c r="J117">
        <v>10</v>
      </c>
      <c r="K117" t="s">
        <v>50</v>
      </c>
      <c r="L117" t="s">
        <v>50</v>
      </c>
      <c r="M117">
        <v>1.43</v>
      </c>
    </row>
    <row r="118" spans="1:13" hidden="1" x14ac:dyDescent="0.35">
      <c r="B118" t="e" vm="108">
        <v>#VALUE!</v>
      </c>
      <c r="C118">
        <v>327</v>
      </c>
      <c r="D118">
        <v>7.4</v>
      </c>
      <c r="E118">
        <v>44.2</v>
      </c>
      <c r="F118">
        <v>24.5</v>
      </c>
      <c r="G118">
        <v>44.6</v>
      </c>
      <c r="H118">
        <v>2</v>
      </c>
      <c r="I118">
        <v>10.4</v>
      </c>
      <c r="J118">
        <v>32</v>
      </c>
      <c r="K118" t="s">
        <v>50</v>
      </c>
      <c r="L118" t="s">
        <v>61</v>
      </c>
      <c r="M118">
        <v>0.66</v>
      </c>
    </row>
    <row r="119" spans="1:13" x14ac:dyDescent="0.35">
      <c r="B119" t="e" vm="109">
        <v>#VALUE!</v>
      </c>
      <c r="C119">
        <v>111</v>
      </c>
      <c r="D119">
        <v>27.3</v>
      </c>
      <c r="E119">
        <v>4.05</v>
      </c>
      <c r="F119">
        <v>5.03</v>
      </c>
      <c r="G119">
        <v>136</v>
      </c>
      <c r="H119">
        <v>10</v>
      </c>
      <c r="I119">
        <v>10</v>
      </c>
      <c r="J119">
        <v>-7</v>
      </c>
      <c r="K119" t="s">
        <v>61</v>
      </c>
      <c r="L119" t="s">
        <v>50</v>
      </c>
      <c r="M119">
        <v>10.8</v>
      </c>
    </row>
    <row r="120" spans="1:13" hidden="1" x14ac:dyDescent="0.35">
      <c r="A120" s="6">
        <f t="shared" ref="A120:A125" ca="1" si="5">TODAY()</f>
        <v>44643</v>
      </c>
      <c r="B120" t="e" vm="110">
        <v>#VALUE!</v>
      </c>
      <c r="C120">
        <v>161</v>
      </c>
      <c r="D120">
        <v>2.87</v>
      </c>
      <c r="E120">
        <v>56.1</v>
      </c>
      <c r="F120">
        <v>19.399999999999999</v>
      </c>
      <c r="G120">
        <v>31</v>
      </c>
      <c r="H120">
        <v>2</v>
      </c>
      <c r="I120">
        <v>10</v>
      </c>
      <c r="J120">
        <v>33</v>
      </c>
      <c r="K120" t="s">
        <v>50</v>
      </c>
      <c r="L120" t="s">
        <v>50</v>
      </c>
      <c r="M120">
        <v>0.31</v>
      </c>
    </row>
    <row r="121" spans="1:13" hidden="1" x14ac:dyDescent="0.35">
      <c r="A121" s="6">
        <f t="shared" ca="1" si="5"/>
        <v>44643</v>
      </c>
      <c r="B121" t="e" vm="111">
        <v>#VALUE!</v>
      </c>
      <c r="C121">
        <v>222</v>
      </c>
      <c r="D121">
        <v>9.85</v>
      </c>
      <c r="E121">
        <v>23</v>
      </c>
      <c r="F121">
        <v>24</v>
      </c>
      <c r="G121">
        <v>61</v>
      </c>
      <c r="H121">
        <v>2</v>
      </c>
      <c r="I121">
        <v>10</v>
      </c>
      <c r="J121">
        <v>30</v>
      </c>
      <c r="K121" t="s">
        <v>50</v>
      </c>
      <c r="L121" t="s">
        <v>50</v>
      </c>
      <c r="M121">
        <v>0.23</v>
      </c>
    </row>
    <row r="122" spans="1:13" hidden="1" x14ac:dyDescent="0.35">
      <c r="A122" s="6">
        <f t="shared" ca="1" si="5"/>
        <v>44643</v>
      </c>
      <c r="B122" t="e" vm="112">
        <v>#VALUE!</v>
      </c>
      <c r="C122">
        <v>2437</v>
      </c>
      <c r="D122">
        <v>19.7</v>
      </c>
      <c r="E122">
        <v>124</v>
      </c>
      <c r="F122">
        <v>27.7</v>
      </c>
      <c r="G122">
        <v>87.6</v>
      </c>
      <c r="H122">
        <v>1</v>
      </c>
      <c r="I122">
        <v>10</v>
      </c>
      <c r="J122">
        <v>38</v>
      </c>
      <c r="K122" t="s">
        <v>50</v>
      </c>
      <c r="L122" t="s">
        <v>50</v>
      </c>
      <c r="M122">
        <v>0.16</v>
      </c>
    </row>
    <row r="123" spans="1:13" x14ac:dyDescent="0.35">
      <c r="A123" s="6">
        <f t="shared" ca="1" si="5"/>
        <v>44643</v>
      </c>
      <c r="B123" t="e" vm="113">
        <v>#VALUE!</v>
      </c>
      <c r="C123">
        <v>116</v>
      </c>
      <c r="D123">
        <v>5.38</v>
      </c>
      <c r="E123">
        <v>21.1</v>
      </c>
      <c r="F123">
        <v>8.39</v>
      </c>
      <c r="G123">
        <v>107</v>
      </c>
      <c r="H123">
        <v>10</v>
      </c>
      <c r="I123">
        <v>10</v>
      </c>
      <c r="J123">
        <v>10</v>
      </c>
      <c r="K123" t="s">
        <v>50</v>
      </c>
      <c r="L123" t="s">
        <v>50</v>
      </c>
      <c r="M123">
        <v>0</v>
      </c>
    </row>
    <row r="124" spans="1:13" hidden="1" x14ac:dyDescent="0.35">
      <c r="A124" s="6">
        <f t="shared" ca="1" si="5"/>
        <v>44643</v>
      </c>
      <c r="B124" t="e" vm="114">
        <v>#VALUE!</v>
      </c>
      <c r="C124">
        <v>44.9</v>
      </c>
      <c r="D124">
        <v>5.18</v>
      </c>
      <c r="E124">
        <v>8.67</v>
      </c>
      <c r="F124">
        <v>18.2</v>
      </c>
      <c r="G124">
        <v>48.6</v>
      </c>
      <c r="H124">
        <v>2</v>
      </c>
      <c r="I124">
        <v>9</v>
      </c>
      <c r="J124">
        <v>3</v>
      </c>
      <c r="K124" t="s">
        <v>50</v>
      </c>
      <c r="L124" t="s">
        <v>50</v>
      </c>
      <c r="M124">
        <v>5.23</v>
      </c>
    </row>
    <row r="125" spans="1:13" hidden="1" x14ac:dyDescent="0.35">
      <c r="A125" s="6">
        <f t="shared" ca="1" si="5"/>
        <v>44643</v>
      </c>
      <c r="B125" t="e" vm="115">
        <v>#VALUE!</v>
      </c>
      <c r="C125">
        <v>215</v>
      </c>
      <c r="D125">
        <v>6.39</v>
      </c>
      <c r="E125">
        <v>33.6</v>
      </c>
      <c r="F125">
        <v>22.6</v>
      </c>
      <c r="G125">
        <v>40.1</v>
      </c>
      <c r="H125">
        <v>1</v>
      </c>
      <c r="I125">
        <v>8.8000000000000007</v>
      </c>
      <c r="J125">
        <v>10</v>
      </c>
      <c r="K125" t="s">
        <v>50</v>
      </c>
      <c r="L125" t="s">
        <v>50</v>
      </c>
      <c r="M125">
        <v>0.7</v>
      </c>
    </row>
    <row r="126" spans="1:13" hidden="1" x14ac:dyDescent="0.35">
      <c r="B126" t="e" vm="116">
        <v>#VALUE!</v>
      </c>
      <c r="C126">
        <v>1199</v>
      </c>
      <c r="D126">
        <v>17.899999999999999</v>
      </c>
      <c r="E126">
        <v>67.099999999999994</v>
      </c>
      <c r="F126">
        <v>58</v>
      </c>
      <c r="G126">
        <v>155</v>
      </c>
      <c r="H126">
        <v>1</v>
      </c>
      <c r="I126">
        <v>8</v>
      </c>
      <c r="J126">
        <v>30</v>
      </c>
      <c r="K126" t="s">
        <v>50</v>
      </c>
      <c r="L126" t="s">
        <v>61</v>
      </c>
      <c r="M126">
        <v>0.42</v>
      </c>
    </row>
    <row r="127" spans="1:13" hidden="1" x14ac:dyDescent="0.35">
      <c r="A127" s="6">
        <f ca="1">TODAY()</f>
        <v>44643</v>
      </c>
      <c r="B127" t="e" vm="117">
        <v>#VALUE!</v>
      </c>
      <c r="C127">
        <v>10.1</v>
      </c>
      <c r="D127">
        <v>0.4</v>
      </c>
      <c r="E127">
        <v>23.8</v>
      </c>
      <c r="F127">
        <v>30</v>
      </c>
      <c r="G127">
        <v>5.36</v>
      </c>
      <c r="H127">
        <v>1</v>
      </c>
      <c r="I127">
        <v>8</v>
      </c>
      <c r="J127">
        <v>72</v>
      </c>
      <c r="K127" t="s">
        <v>50</v>
      </c>
      <c r="L127" t="s">
        <v>50</v>
      </c>
      <c r="M127">
        <v>0.1</v>
      </c>
    </row>
    <row r="128" spans="1:13" x14ac:dyDescent="0.35">
      <c r="A128" s="6">
        <f ca="1">TODAY()</f>
        <v>44643</v>
      </c>
      <c r="B128" t="e" vm="118">
        <v>#VALUE!</v>
      </c>
      <c r="C128">
        <v>55.8</v>
      </c>
      <c r="D128">
        <v>7.55</v>
      </c>
      <c r="E128">
        <v>7.38</v>
      </c>
      <c r="F128">
        <v>12.1</v>
      </c>
      <c r="G128">
        <v>30.8</v>
      </c>
      <c r="H128">
        <v>10</v>
      </c>
      <c r="I128">
        <v>8</v>
      </c>
      <c r="J128">
        <v>28</v>
      </c>
      <c r="K128" t="s">
        <v>50</v>
      </c>
      <c r="L128" t="s">
        <v>50</v>
      </c>
      <c r="M128">
        <v>0</v>
      </c>
    </row>
    <row r="129" spans="1:13" hidden="1" x14ac:dyDescent="0.35">
      <c r="B129" t="e" vm="119">
        <v>#VALUE!</v>
      </c>
      <c r="C129">
        <v>881</v>
      </c>
      <c r="D129">
        <v>9.24</v>
      </c>
      <c r="E129">
        <v>95.4</v>
      </c>
      <c r="F129">
        <v>419</v>
      </c>
      <c r="G129">
        <v>130</v>
      </c>
      <c r="H129">
        <v>2</v>
      </c>
      <c r="I129">
        <v>8</v>
      </c>
      <c r="J129">
        <v>30</v>
      </c>
      <c r="K129" t="s">
        <v>50</v>
      </c>
      <c r="L129" t="s">
        <v>50</v>
      </c>
      <c r="M129">
        <v>0</v>
      </c>
    </row>
    <row r="130" spans="1:13" x14ac:dyDescent="0.35">
      <c r="B130" t="e" vm="120">
        <v>#VALUE!</v>
      </c>
      <c r="C130">
        <v>3291</v>
      </c>
      <c r="D130">
        <v>36.299999999999997</v>
      </c>
      <c r="E130">
        <v>90.8</v>
      </c>
      <c r="F130">
        <v>40.200000000000003</v>
      </c>
      <c r="G130">
        <v>485</v>
      </c>
      <c r="H130">
        <v>10</v>
      </c>
      <c r="I130">
        <v>8</v>
      </c>
      <c r="J130">
        <v>40</v>
      </c>
      <c r="K130" t="s">
        <v>50</v>
      </c>
      <c r="L130" t="s">
        <v>50</v>
      </c>
      <c r="M130">
        <v>0</v>
      </c>
    </row>
    <row r="131" spans="1:13" x14ac:dyDescent="0.35">
      <c r="A131" s="6">
        <f ca="1">TODAY()</f>
        <v>44643</v>
      </c>
      <c r="B131" t="e" vm="121">
        <v>#VALUE!</v>
      </c>
      <c r="C131">
        <v>4639</v>
      </c>
      <c r="D131">
        <v>21.2</v>
      </c>
      <c r="E131">
        <v>219</v>
      </c>
      <c r="F131">
        <v>234</v>
      </c>
      <c r="G131">
        <v>196</v>
      </c>
      <c r="H131">
        <v>10</v>
      </c>
      <c r="I131">
        <v>7.86</v>
      </c>
      <c r="J131">
        <v>40</v>
      </c>
      <c r="K131" t="s">
        <v>50</v>
      </c>
      <c r="L131" t="s">
        <v>50</v>
      </c>
      <c r="M131">
        <v>0</v>
      </c>
    </row>
    <row r="132" spans="1:13" hidden="1" x14ac:dyDescent="0.35">
      <c r="A132" s="6">
        <f ca="1">TODAY()</f>
        <v>44643</v>
      </c>
      <c r="B132" t="e" vm="122">
        <v>#VALUE!</v>
      </c>
      <c r="C132">
        <v>20</v>
      </c>
      <c r="D132">
        <v>0.42</v>
      </c>
      <c r="E132">
        <v>48.2</v>
      </c>
      <c r="F132">
        <v>40.299999999999997</v>
      </c>
      <c r="G132">
        <v>1.73</v>
      </c>
      <c r="H132">
        <v>1</v>
      </c>
      <c r="I132">
        <v>7.27</v>
      </c>
      <c r="J132">
        <v>172</v>
      </c>
      <c r="K132" t="s">
        <v>50</v>
      </c>
      <c r="L132" t="s">
        <v>50</v>
      </c>
      <c r="M132">
        <v>0.25</v>
      </c>
    </row>
    <row r="133" spans="1:13" x14ac:dyDescent="0.35">
      <c r="B133" t="e" vm="123">
        <v>#VALUE!</v>
      </c>
      <c r="C133">
        <v>378</v>
      </c>
      <c r="D133">
        <v>82.7</v>
      </c>
      <c r="E133">
        <v>6.65</v>
      </c>
      <c r="F133">
        <v>5.03</v>
      </c>
      <c r="G133">
        <v>223</v>
      </c>
      <c r="H133">
        <v>10</v>
      </c>
      <c r="I133">
        <v>7</v>
      </c>
      <c r="J133">
        <v>3</v>
      </c>
      <c r="K133" t="s">
        <v>50</v>
      </c>
      <c r="L133" t="s">
        <v>50</v>
      </c>
      <c r="M133">
        <v>11.6</v>
      </c>
    </row>
    <row r="134" spans="1:13" hidden="1" x14ac:dyDescent="0.35">
      <c r="A134" s="6">
        <f ca="1">TODAY()</f>
        <v>44643</v>
      </c>
      <c r="B134" t="s">
        <v>91</v>
      </c>
      <c r="C134">
        <v>3.95</v>
      </c>
      <c r="D134">
        <v>-7.0000000000000007E-2</v>
      </c>
      <c r="F134">
        <v>37.299999999999997</v>
      </c>
      <c r="G134">
        <v>1.93</v>
      </c>
      <c r="H134">
        <v>1</v>
      </c>
      <c r="I134">
        <v>6.76</v>
      </c>
      <c r="J134">
        <v>20</v>
      </c>
      <c r="K134" t="s">
        <v>61</v>
      </c>
      <c r="L134" t="s">
        <v>61</v>
      </c>
      <c r="M134">
        <v>0</v>
      </c>
    </row>
    <row r="135" spans="1:13" x14ac:dyDescent="0.35">
      <c r="A135" s="6">
        <f ca="1">TODAY()</f>
        <v>44643</v>
      </c>
      <c r="B135" t="e" vm="124">
        <v>#VALUE!</v>
      </c>
      <c r="C135">
        <v>33.799999999999997</v>
      </c>
      <c r="D135">
        <v>5.3</v>
      </c>
      <c r="E135">
        <v>6.3</v>
      </c>
      <c r="F135">
        <v>36.799999999999997</v>
      </c>
      <c r="G135">
        <v>29.2</v>
      </c>
      <c r="H135">
        <v>10</v>
      </c>
      <c r="I135">
        <v>6</v>
      </c>
      <c r="J135">
        <v>48</v>
      </c>
      <c r="K135" t="s">
        <v>50</v>
      </c>
      <c r="L135" t="s">
        <v>50</v>
      </c>
      <c r="M135">
        <v>4.68</v>
      </c>
    </row>
    <row r="136" spans="1:13" hidden="1" x14ac:dyDescent="0.35">
      <c r="A136" s="6">
        <f ca="1">TODAY()</f>
        <v>44643</v>
      </c>
      <c r="B136" t="e" vm="125">
        <v>#VALUE!</v>
      </c>
      <c r="C136">
        <v>11.2</v>
      </c>
      <c r="D136">
        <v>0.39</v>
      </c>
      <c r="E136">
        <v>28.6</v>
      </c>
      <c r="F136">
        <v>40.299999999999997</v>
      </c>
      <c r="G136">
        <v>5.62</v>
      </c>
      <c r="H136">
        <v>5</v>
      </c>
      <c r="I136">
        <v>6</v>
      </c>
      <c r="J136">
        <v>11</v>
      </c>
      <c r="K136" t="s">
        <v>50</v>
      </c>
      <c r="L136" t="s">
        <v>50</v>
      </c>
      <c r="M136">
        <v>0</v>
      </c>
    </row>
    <row r="137" spans="1:13" x14ac:dyDescent="0.35">
      <c r="A137" s="6">
        <f ca="1">TODAY()</f>
        <v>44643</v>
      </c>
      <c r="B137" t="e" vm="126">
        <v>#VALUE!</v>
      </c>
      <c r="C137">
        <v>52</v>
      </c>
      <c r="D137">
        <v>2.11</v>
      </c>
      <c r="E137">
        <v>24.8</v>
      </c>
      <c r="F137">
        <v>12.1</v>
      </c>
      <c r="G137">
        <v>45.3</v>
      </c>
      <c r="H137">
        <v>10</v>
      </c>
      <c r="I137">
        <v>5</v>
      </c>
      <c r="J137">
        <v>13</v>
      </c>
      <c r="K137" t="s">
        <v>50</v>
      </c>
      <c r="L137" t="s">
        <v>50</v>
      </c>
      <c r="M137">
        <v>0</v>
      </c>
    </row>
    <row r="138" spans="1:13" x14ac:dyDescent="0.35">
      <c r="A138" s="6">
        <f ca="1">TODAY()</f>
        <v>44643</v>
      </c>
      <c r="B138" t="s">
        <v>99</v>
      </c>
      <c r="C138">
        <v>627</v>
      </c>
      <c r="D138">
        <v>-7.85</v>
      </c>
      <c r="F138">
        <v>22.6</v>
      </c>
      <c r="G138">
        <v>-61</v>
      </c>
      <c r="H138">
        <v>10</v>
      </c>
      <c r="I138">
        <v>3.7</v>
      </c>
      <c r="J138">
        <v>60</v>
      </c>
      <c r="K138" t="s">
        <v>61</v>
      </c>
      <c r="L138" t="s">
        <v>50</v>
      </c>
      <c r="M138">
        <v>0</v>
      </c>
    </row>
    <row r="139" spans="1:13" x14ac:dyDescent="0.35">
      <c r="B139" t="e" vm="127">
        <v>#VALUE!</v>
      </c>
      <c r="C139">
        <v>42.8</v>
      </c>
      <c r="D139">
        <v>-3.35</v>
      </c>
      <c r="F139">
        <v>5.03</v>
      </c>
      <c r="G139">
        <v>20.6</v>
      </c>
      <c r="H139">
        <v>10</v>
      </c>
      <c r="I139">
        <v>3</v>
      </c>
      <c r="J139">
        <v>-16</v>
      </c>
      <c r="K139" t="s">
        <v>61</v>
      </c>
      <c r="L139" t="s">
        <v>50</v>
      </c>
      <c r="M139">
        <v>0</v>
      </c>
    </row>
    <row r="140" spans="1:13" x14ac:dyDescent="0.35">
      <c r="A140" s="6">
        <f t="shared" ref="A140:A145" ca="1" si="6">TODAY()</f>
        <v>44643</v>
      </c>
      <c r="B140" t="s">
        <v>94</v>
      </c>
      <c r="C140">
        <v>25.4</v>
      </c>
      <c r="D140">
        <v>3.82</v>
      </c>
      <c r="E140">
        <v>6.63</v>
      </c>
      <c r="F140">
        <v>21.6</v>
      </c>
      <c r="G140">
        <v>28.6</v>
      </c>
      <c r="H140">
        <v>10</v>
      </c>
      <c r="I140">
        <v>2.36</v>
      </c>
      <c r="K140" t="s">
        <v>50</v>
      </c>
      <c r="L140" t="s">
        <v>50</v>
      </c>
      <c r="M140">
        <v>0</v>
      </c>
    </row>
    <row r="141" spans="1:13" hidden="1" x14ac:dyDescent="0.35">
      <c r="A141" s="6">
        <f t="shared" ca="1" si="6"/>
        <v>44643</v>
      </c>
      <c r="B141" t="e" vm="128">
        <v>#VALUE!</v>
      </c>
      <c r="C141">
        <v>736</v>
      </c>
      <c r="D141">
        <v>30.7</v>
      </c>
      <c r="E141">
        <v>24</v>
      </c>
      <c r="F141">
        <v>17.5</v>
      </c>
      <c r="G141">
        <v>227</v>
      </c>
      <c r="H141">
        <v>2</v>
      </c>
      <c r="I141">
        <v>1.75</v>
      </c>
      <c r="J141">
        <v>30</v>
      </c>
      <c r="K141" t="s">
        <v>50</v>
      </c>
      <c r="L141" t="s">
        <v>50</v>
      </c>
      <c r="M141">
        <v>0.27</v>
      </c>
    </row>
    <row r="142" spans="1:13" hidden="1" x14ac:dyDescent="0.35">
      <c r="A142" s="6">
        <f t="shared" ca="1" si="6"/>
        <v>44643</v>
      </c>
      <c r="B142" t="e" vm="129">
        <v>#VALUE!</v>
      </c>
      <c r="C142">
        <v>68.8</v>
      </c>
      <c r="D142">
        <v>5.09</v>
      </c>
      <c r="E142">
        <v>14.7</v>
      </c>
      <c r="F142">
        <v>49.6</v>
      </c>
      <c r="G142">
        <v>26.7</v>
      </c>
      <c r="H142">
        <v>2</v>
      </c>
      <c r="I142">
        <v>1.69</v>
      </c>
      <c r="J142">
        <v>66</v>
      </c>
      <c r="K142" t="s">
        <v>50</v>
      </c>
      <c r="L142" t="s">
        <v>50</v>
      </c>
      <c r="M142">
        <v>0</v>
      </c>
    </row>
    <row r="143" spans="1:13" hidden="1" x14ac:dyDescent="0.35">
      <c r="A143" s="6">
        <f t="shared" ca="1" si="6"/>
        <v>44643</v>
      </c>
      <c r="B143" t="e" vm="130">
        <v>#VALUE!</v>
      </c>
      <c r="C143">
        <v>41.7</v>
      </c>
      <c r="D143">
        <v>2.4700000000000002</v>
      </c>
      <c r="E143">
        <v>16.899999999999999</v>
      </c>
      <c r="F143">
        <v>49.6</v>
      </c>
      <c r="G143">
        <v>29.3</v>
      </c>
      <c r="H143">
        <v>2</v>
      </c>
      <c r="I143">
        <v>1.55</v>
      </c>
      <c r="J143">
        <v>40</v>
      </c>
      <c r="K143" t="s">
        <v>50</v>
      </c>
      <c r="L143" t="s">
        <v>50</v>
      </c>
      <c r="M143">
        <v>0</v>
      </c>
    </row>
    <row r="144" spans="1:13" x14ac:dyDescent="0.35">
      <c r="A144" s="6">
        <f t="shared" ca="1" si="6"/>
        <v>44643</v>
      </c>
      <c r="B144" t="e" vm="131">
        <v>#VALUE!</v>
      </c>
      <c r="C144">
        <v>641</v>
      </c>
      <c r="D144">
        <v>5.74</v>
      </c>
      <c r="E144">
        <v>112</v>
      </c>
      <c r="F144">
        <v>69.8</v>
      </c>
      <c r="G144">
        <v>44</v>
      </c>
      <c r="H144">
        <v>10</v>
      </c>
      <c r="I144">
        <v>1</v>
      </c>
      <c r="J144">
        <v>18</v>
      </c>
      <c r="K144" t="s">
        <v>50</v>
      </c>
      <c r="L144" t="s">
        <v>50</v>
      </c>
      <c r="M144">
        <v>0.32</v>
      </c>
    </row>
    <row r="145" spans="1:13" x14ac:dyDescent="0.35">
      <c r="A145" s="6">
        <f t="shared" ca="1" si="6"/>
        <v>44643</v>
      </c>
      <c r="B145" t="e" vm="132">
        <v>#VALUE!</v>
      </c>
      <c r="C145">
        <v>1195</v>
      </c>
      <c r="D145">
        <v>12.4</v>
      </c>
      <c r="E145">
        <v>97.2</v>
      </c>
      <c r="F145">
        <v>69.8</v>
      </c>
      <c r="G145">
        <v>109</v>
      </c>
      <c r="H145">
        <v>10</v>
      </c>
      <c r="I145">
        <v>0.54</v>
      </c>
      <c r="J145">
        <v>30</v>
      </c>
      <c r="K145" t="s">
        <v>50</v>
      </c>
      <c r="L145" t="s">
        <v>50</v>
      </c>
      <c r="M145">
        <v>0.21</v>
      </c>
    </row>
    <row r="146" spans="1:13" hidden="1" x14ac:dyDescent="0.35">
      <c r="B146" t="e" vm="133">
        <v>#VALUE!</v>
      </c>
      <c r="C146">
        <v>19.8</v>
      </c>
      <c r="D146">
        <v>0.04</v>
      </c>
      <c r="E146">
        <v>451</v>
      </c>
      <c r="F146">
        <v>40.299999999999997</v>
      </c>
      <c r="G146">
        <v>2.92</v>
      </c>
      <c r="H146">
        <v>1</v>
      </c>
      <c r="I146">
        <v>-0.11</v>
      </c>
      <c r="J146">
        <v>70</v>
      </c>
      <c r="K146" t="s">
        <v>50</v>
      </c>
      <c r="L146" t="s">
        <v>61</v>
      </c>
      <c r="M146">
        <v>0</v>
      </c>
    </row>
    <row r="147" spans="1:13" hidden="1" x14ac:dyDescent="0.35">
      <c r="A147" s="6">
        <f ca="1">TODAY()</f>
        <v>44643</v>
      </c>
      <c r="B147" t="e" vm="134">
        <v>#VALUE!</v>
      </c>
      <c r="C147">
        <v>44.4</v>
      </c>
      <c r="D147">
        <v>-5.26</v>
      </c>
      <c r="E147">
        <v>76.7</v>
      </c>
      <c r="F147">
        <v>40.299999999999997</v>
      </c>
      <c r="G147">
        <v>0.66</v>
      </c>
      <c r="H147">
        <v>1</v>
      </c>
      <c r="I147">
        <v>-0.15</v>
      </c>
      <c r="J147">
        <v>13</v>
      </c>
      <c r="K147" t="s">
        <v>61</v>
      </c>
      <c r="L147" t="s">
        <v>50</v>
      </c>
      <c r="M147">
        <v>0</v>
      </c>
    </row>
    <row r="148" spans="1:13" hidden="1" x14ac:dyDescent="0.35">
      <c r="B148" t="e" vm="135">
        <v>#VALUE!</v>
      </c>
      <c r="C148">
        <v>177</v>
      </c>
      <c r="D148">
        <v>-4.5999999999999996</v>
      </c>
      <c r="F148">
        <v>67.400000000000006</v>
      </c>
      <c r="G148">
        <v>24.6</v>
      </c>
      <c r="H148">
        <v>1</v>
      </c>
      <c r="I148">
        <v>-1</v>
      </c>
      <c r="J148">
        <v>10</v>
      </c>
      <c r="K148" t="s">
        <v>61</v>
      </c>
      <c r="L148" t="s">
        <v>61</v>
      </c>
      <c r="M148">
        <v>0.23</v>
      </c>
    </row>
    <row r="149" spans="1:13" hidden="1" x14ac:dyDescent="0.35">
      <c r="A149" s="6">
        <f ca="1">TODAY()</f>
        <v>44643</v>
      </c>
      <c r="B149" t="e" vm="136">
        <v>#VALUE!</v>
      </c>
      <c r="C149">
        <v>1755</v>
      </c>
      <c r="D149">
        <v>50.4</v>
      </c>
      <c r="E149">
        <v>34.9</v>
      </c>
      <c r="F149">
        <v>17.5</v>
      </c>
      <c r="G149">
        <v>428</v>
      </c>
      <c r="H149">
        <v>5</v>
      </c>
      <c r="I149">
        <v>-4.2</v>
      </c>
      <c r="J149">
        <v>20</v>
      </c>
      <c r="K149" t="s">
        <v>50</v>
      </c>
      <c r="L149" t="s">
        <v>50</v>
      </c>
      <c r="M149">
        <v>0.05</v>
      </c>
    </row>
    <row r="150" spans="1:13" hidden="1" x14ac:dyDescent="0.35">
      <c r="B150" t="e" vm="137">
        <v>#VALUE!</v>
      </c>
      <c r="C150">
        <v>57.1</v>
      </c>
      <c r="D150">
        <v>-5.01</v>
      </c>
      <c r="F150">
        <v>29.2</v>
      </c>
      <c r="G150">
        <v>73.3</v>
      </c>
      <c r="H150">
        <v>2</v>
      </c>
      <c r="I150">
        <v>-10</v>
      </c>
      <c r="J150">
        <v>-8</v>
      </c>
      <c r="K150" t="s">
        <v>61</v>
      </c>
      <c r="L150" t="s">
        <v>50</v>
      </c>
      <c r="M150">
        <v>0</v>
      </c>
    </row>
    <row r="151" spans="1:13" hidden="1" x14ac:dyDescent="0.35">
      <c r="A151" s="6">
        <f t="shared" ref="A151:A157" ca="1" si="7">TODAY()</f>
        <v>44643</v>
      </c>
      <c r="B151" t="s">
        <v>92</v>
      </c>
      <c r="C151">
        <v>3.4</v>
      </c>
      <c r="D151">
        <v>-5.97</v>
      </c>
      <c r="F151">
        <v>35.799999999999997</v>
      </c>
      <c r="G151">
        <v>17.600000000000001</v>
      </c>
      <c r="H151">
        <v>2</v>
      </c>
      <c r="I151">
        <v>-27.1</v>
      </c>
      <c r="J151">
        <v>18</v>
      </c>
      <c r="K151" t="s">
        <v>61</v>
      </c>
      <c r="L151" t="s">
        <v>90</v>
      </c>
      <c r="M151">
        <v>0</v>
      </c>
    </row>
    <row r="152" spans="1:13" x14ac:dyDescent="0.35">
      <c r="A152" s="6">
        <f t="shared" ca="1" si="7"/>
        <v>44643</v>
      </c>
      <c r="B152" t="e" vm="138">
        <v>#VALUE!</v>
      </c>
      <c r="C152">
        <v>3.15</v>
      </c>
      <c r="D152">
        <v>-17.600000000000001</v>
      </c>
      <c r="F152">
        <v>18.2</v>
      </c>
      <c r="G152">
        <v>-31.2</v>
      </c>
      <c r="H152">
        <v>10</v>
      </c>
      <c r="I152">
        <v>-27.7</v>
      </c>
      <c r="J152">
        <v>-10</v>
      </c>
      <c r="K152" t="s">
        <v>61</v>
      </c>
      <c r="L152" t="s">
        <v>50</v>
      </c>
      <c r="M152">
        <v>0</v>
      </c>
    </row>
    <row r="153" spans="1:13" x14ac:dyDescent="0.35">
      <c r="A153" s="6">
        <f t="shared" ca="1" si="7"/>
        <v>44643</v>
      </c>
      <c r="B153" t="e" vm="139">
        <v>#VALUE!</v>
      </c>
      <c r="C153">
        <v>139</v>
      </c>
      <c r="D153">
        <v>-73</v>
      </c>
      <c r="F153">
        <v>24.5</v>
      </c>
      <c r="G153">
        <v>-278</v>
      </c>
      <c r="H153">
        <v>10</v>
      </c>
      <c r="I153">
        <v>-50</v>
      </c>
      <c r="J153">
        <v>5</v>
      </c>
      <c r="K153" t="s">
        <v>61</v>
      </c>
      <c r="L153" t="s">
        <v>61</v>
      </c>
      <c r="M153">
        <v>0</v>
      </c>
    </row>
    <row r="154" spans="1:13" hidden="1" x14ac:dyDescent="0.35">
      <c r="A154" s="6">
        <f t="shared" ca="1" si="7"/>
        <v>44643</v>
      </c>
      <c r="B154" t="e" vm="140">
        <v>#VALUE!</v>
      </c>
      <c r="C154">
        <v>1840</v>
      </c>
      <c r="D154">
        <v>-4.43</v>
      </c>
      <c r="F154">
        <v>35.799999999999997</v>
      </c>
      <c r="G154">
        <v>301</v>
      </c>
      <c r="H154">
        <v>5</v>
      </c>
      <c r="I154">
        <v>-58</v>
      </c>
      <c r="J154">
        <v>41</v>
      </c>
      <c r="K154" t="s">
        <v>61</v>
      </c>
      <c r="L154" t="s">
        <v>50</v>
      </c>
      <c r="M154">
        <v>0</v>
      </c>
    </row>
    <row r="155" spans="1:13" hidden="1" x14ac:dyDescent="0.35">
      <c r="A155" s="6">
        <f t="shared" ca="1" si="7"/>
        <v>44643</v>
      </c>
      <c r="B155" t="s">
        <v>89</v>
      </c>
      <c r="C155">
        <v>21.6</v>
      </c>
      <c r="D155">
        <v>-0.25</v>
      </c>
      <c r="F155">
        <v>40.200000000000003</v>
      </c>
      <c r="G155">
        <v>-9.69</v>
      </c>
      <c r="H155">
        <v>2</v>
      </c>
      <c r="I155">
        <v>-106</v>
      </c>
      <c r="J155">
        <v>152</v>
      </c>
      <c r="K155" t="s">
        <v>61</v>
      </c>
      <c r="L155" t="s">
        <v>90</v>
      </c>
      <c r="M155">
        <v>0</v>
      </c>
    </row>
    <row r="156" spans="1:13" x14ac:dyDescent="0.35">
      <c r="A156" s="6">
        <f t="shared" ca="1" si="7"/>
        <v>44643</v>
      </c>
      <c r="B156" t="e" vm="141">
        <v>#VALUE!</v>
      </c>
      <c r="C156">
        <v>16.2</v>
      </c>
      <c r="D156">
        <v>-14.2</v>
      </c>
      <c r="F156">
        <v>4.17</v>
      </c>
      <c r="G156">
        <v>13.3</v>
      </c>
      <c r="H156">
        <v>10</v>
      </c>
      <c r="I156">
        <v>-137</v>
      </c>
      <c r="J156">
        <v>-10</v>
      </c>
      <c r="K156" t="s">
        <v>61</v>
      </c>
      <c r="L156" t="s">
        <v>50</v>
      </c>
      <c r="M156">
        <v>0</v>
      </c>
    </row>
    <row r="157" spans="1:13" hidden="1" x14ac:dyDescent="0.35">
      <c r="A157" s="6">
        <f t="shared" ca="1" si="7"/>
        <v>44643</v>
      </c>
      <c r="B157" t="e" vm="142">
        <v>#VALUE!</v>
      </c>
      <c r="C157">
        <v>279</v>
      </c>
      <c r="D157">
        <v>-9.18</v>
      </c>
      <c r="F157">
        <v>26.1</v>
      </c>
      <c r="G157">
        <v>0.18</v>
      </c>
      <c r="H157">
        <v>1</v>
      </c>
      <c r="I157">
        <v>-223</v>
      </c>
      <c r="J157">
        <v>14</v>
      </c>
      <c r="K157" t="s">
        <v>61</v>
      </c>
      <c r="L157" t="s">
        <v>50</v>
      </c>
      <c r="M157">
        <v>0</v>
      </c>
    </row>
    <row r="158" spans="1:13" hidden="1" x14ac:dyDescent="0.35">
      <c r="B158" t="e" vm="143">
        <v>#VALUE!</v>
      </c>
      <c r="C158">
        <v>671</v>
      </c>
      <c r="D158">
        <v>327</v>
      </c>
      <c r="E158">
        <v>62.7</v>
      </c>
      <c r="F158">
        <v>132</v>
      </c>
      <c r="G158">
        <v>40</v>
      </c>
      <c r="H158">
        <v>2</v>
      </c>
      <c r="I158">
        <v>41.1</v>
      </c>
      <c r="K158" t="s">
        <v>8</v>
      </c>
      <c r="L158" t="s">
        <v>50</v>
      </c>
      <c r="M158">
        <v>0</v>
      </c>
    </row>
  </sheetData>
  <autoFilter ref="A1:N158" xr:uid="{5151C4EC-BC4E-4D37-AE64-3FC2DDE79BC7}">
    <filterColumn colId="7">
      <filters>
        <filter val="10"/>
      </filters>
    </filterColumn>
    <sortState xmlns:xlrd2="http://schemas.microsoft.com/office/spreadsheetml/2017/richdata2" ref="A2:N157">
      <sortCondition descending="1" ref="I1:I15"/>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9DFB-EAAE-4174-9009-EE094AD585D2}">
  <sheetPr filterMode="1"/>
  <dimension ref="A1:N120"/>
  <sheetViews>
    <sheetView tabSelected="1" zoomScaleNormal="100" workbookViewId="0">
      <pane ySplit="1" topLeftCell="A2" activePane="bottomLeft" state="frozen"/>
      <selection pane="bottomLeft" activeCell="K120" sqref="K120"/>
    </sheetView>
  </sheetViews>
  <sheetFormatPr defaultRowHeight="14.5" x14ac:dyDescent="0.35"/>
  <cols>
    <col min="1" max="1" width="4.6328125" bestFit="1" customWidth="1"/>
    <col min="2" max="2" width="34.26953125" customWidth="1"/>
    <col min="3" max="3" width="20.54296875" customWidth="1"/>
    <col min="4" max="4" width="7.81640625" bestFit="1" customWidth="1"/>
    <col min="5" max="5" width="8.90625" bestFit="1" customWidth="1"/>
    <col min="6" max="6" width="9.453125" style="12" bestFit="1" customWidth="1"/>
    <col min="7" max="7" width="10.453125" style="10" bestFit="1" customWidth="1"/>
    <col min="8" max="8" width="10.1796875" style="10" customWidth="1"/>
    <col min="9" max="10" width="10.1796875" style="11" customWidth="1"/>
    <col min="11" max="11" width="10.453125" bestFit="1" customWidth="1"/>
    <col min="14" max="14" width="11.1796875" bestFit="1" customWidth="1"/>
  </cols>
  <sheetData>
    <row r="1" spans="1:13" s="15" customFormat="1" x14ac:dyDescent="0.35">
      <c r="A1" s="15" t="s">
        <v>151</v>
      </c>
      <c r="B1" s="15" t="s">
        <v>101</v>
      </c>
      <c r="C1" s="15" t="s">
        <v>103</v>
      </c>
      <c r="D1" s="15" t="s">
        <v>1</v>
      </c>
      <c r="E1" s="15" t="s">
        <v>104</v>
      </c>
      <c r="F1" s="16" t="s">
        <v>105</v>
      </c>
      <c r="G1" s="17" t="s">
        <v>110</v>
      </c>
      <c r="H1" s="17" t="s">
        <v>190</v>
      </c>
      <c r="I1" s="18" t="s">
        <v>189</v>
      </c>
      <c r="J1" s="18" t="s">
        <v>191</v>
      </c>
      <c r="K1" s="15" t="s">
        <v>102</v>
      </c>
      <c r="L1" s="15" t="s">
        <v>116</v>
      </c>
      <c r="M1" s="15" t="s">
        <v>117</v>
      </c>
    </row>
    <row r="2" spans="1:13" hidden="1" x14ac:dyDescent="0.35">
      <c r="A2">
        <v>1</v>
      </c>
      <c r="B2" t="e" vm="49">
        <v>#VALUE!</v>
      </c>
      <c r="C2" s="8" t="str" cm="1">
        <f t="array" ref="C2">_FV(B2,"Industry")</f>
        <v>Personal &amp; Household Products &amp; Services</v>
      </c>
      <c r="D2" s="9" cm="1">
        <f t="array" ref="D2">_FV(B2,"P/E",TRUE)</f>
        <v>55.02</v>
      </c>
      <c r="E2" s="8" cm="1">
        <f t="array" ref="E2">_FV(B2,"Change (%)",TRUE)</f>
        <v>-2.8130000000000002E-2</v>
      </c>
      <c r="F2" s="12" t="s">
        <v>131</v>
      </c>
      <c r="G2" s="10">
        <v>1700</v>
      </c>
      <c r="H2" s="14">
        <v>204</v>
      </c>
      <c r="I2" s="19">
        <v>1</v>
      </c>
      <c r="J2" s="19">
        <v>1.47</v>
      </c>
      <c r="K2" s="13" cm="1">
        <f t="array" ref="K2">_FV(B2,"Price")</f>
        <v>1993.5</v>
      </c>
    </row>
    <row r="3" spans="1:13" hidden="1" x14ac:dyDescent="0.35">
      <c r="A3">
        <v>2</v>
      </c>
      <c r="B3" t="e" vm="144">
        <v>#VALUE!</v>
      </c>
      <c r="C3" s="8" t="str" cm="1">
        <f t="array" ref="C3">_FV(B3,"Industry")</f>
        <v>Automobiles &amp; Auto Parts</v>
      </c>
      <c r="D3" s="9" cm="1">
        <f t="array" ref="D3">_FV(B3,"P/E",TRUE)</f>
        <v>27.58</v>
      </c>
      <c r="E3" s="8" cm="1">
        <f t="array" ref="E3">_FV(B3,"Change (%)",TRUE)</f>
        <v>-2.3839999999999998E-3</v>
      </c>
      <c r="F3" s="12" t="s">
        <v>127</v>
      </c>
      <c r="G3" s="10">
        <v>1743</v>
      </c>
      <c r="H3" s="10">
        <v>338</v>
      </c>
      <c r="I3" s="11">
        <v>2</v>
      </c>
      <c r="J3" s="11">
        <v>0.8</v>
      </c>
      <c r="K3" s="13" cm="1">
        <f t="array" ref="K3">_FV(B3,"Price")</f>
        <v>2050.4499999999998</v>
      </c>
    </row>
    <row r="4" spans="1:13" hidden="1" x14ac:dyDescent="0.35">
      <c r="A4">
        <v>3</v>
      </c>
      <c r="B4" t="e" vm="145">
        <v>#VALUE!</v>
      </c>
      <c r="C4" s="8" t="str" cm="1">
        <f t="array" ref="C4">_FV(B4,"Industry")</f>
        <v>Software &amp; IT Services</v>
      </c>
      <c r="D4" s="9" cm="1">
        <f t="array" ref="D4">_FV(B4,"P/E",TRUE)</f>
        <v>98.78</v>
      </c>
      <c r="E4" s="8" cm="1">
        <f t="array" ref="E4">_FV(B4,"Change (%)",TRUE)</f>
        <v>-9.7149999999999997E-3</v>
      </c>
      <c r="F4" s="12" t="s">
        <v>132</v>
      </c>
      <c r="G4" s="10">
        <v>918</v>
      </c>
      <c r="H4" s="10">
        <v>39</v>
      </c>
      <c r="I4" s="11">
        <v>2</v>
      </c>
      <c r="J4" s="11">
        <v>0.26</v>
      </c>
      <c r="K4" s="7" cm="1">
        <f t="array" ref="K4">_FV(B4,"Price")</f>
        <v>1136.5999999999999</v>
      </c>
    </row>
    <row r="5" spans="1:13" hidden="1" x14ac:dyDescent="0.35">
      <c r="A5">
        <v>4</v>
      </c>
      <c r="B5" t="e" vm="146">
        <v>#VALUE!</v>
      </c>
      <c r="C5" s="8" t="str" cm="1">
        <f t="array" ref="C5">_FV(B5,"Industry")</f>
        <v>Construction Materials</v>
      </c>
      <c r="D5" s="9" cm="1">
        <f t="array" ref="D5">_FV(B5,"P/E",TRUE)</f>
        <v>26.38</v>
      </c>
      <c r="E5" s="8" cm="1">
        <f t="array" ref="E5">_FV(B5,"Change (%)",TRUE)</f>
        <v>3.287E-3</v>
      </c>
      <c r="F5" s="12" t="s">
        <v>165</v>
      </c>
      <c r="G5" s="10">
        <v>5629</v>
      </c>
      <c r="H5" s="10">
        <v>1599</v>
      </c>
      <c r="I5" s="11">
        <v>10</v>
      </c>
      <c r="J5" s="11">
        <v>0.57999999999999996</v>
      </c>
      <c r="K5" s="13" cm="1">
        <f t="array" ref="K5">_FV(B5,"Price")</f>
        <v>6211.6</v>
      </c>
    </row>
    <row r="6" spans="1:13" hidden="1" x14ac:dyDescent="0.35">
      <c r="A6">
        <v>5</v>
      </c>
      <c r="B6" t="e" vm="147">
        <v>#VALUE!</v>
      </c>
      <c r="C6" s="8" t="str" cm="1">
        <f t="array" ref="C6">_FV(B6,"Industry")</f>
        <v>Insurance</v>
      </c>
      <c r="D6" s="9" cm="1">
        <f t="array" ref="D6">_FV(B6,"P/E",TRUE)</f>
        <v>0</v>
      </c>
      <c r="E6" s="8" cm="1">
        <f t="array" ref="E6">_FV(B6,"Change (%)",TRUE)</f>
        <v>-1.2199999999999999E-3</v>
      </c>
      <c r="F6" s="12" t="s">
        <v>177</v>
      </c>
      <c r="G6" s="10">
        <v>704</v>
      </c>
      <c r="H6" s="10">
        <v>0</v>
      </c>
      <c r="I6" s="11">
        <v>10</v>
      </c>
      <c r="J6" s="11">
        <v>0</v>
      </c>
      <c r="K6" s="22" cm="1">
        <f t="array" ref="K6">_FV(B6,"Price")</f>
        <v>655</v>
      </c>
    </row>
    <row r="7" spans="1:13" hidden="1" x14ac:dyDescent="0.35">
      <c r="A7">
        <v>6</v>
      </c>
      <c r="B7" t="e" vm="100">
        <v>#VALUE!</v>
      </c>
      <c r="C7" s="8" t="str" cm="1">
        <f t="array" ref="C7">_FV(B7,"Industry")</f>
        <v>Food &amp; Tobacco</v>
      </c>
      <c r="D7" s="9" cm="1">
        <f t="array" ref="D7">_FV(B7,"P/E",TRUE)</f>
        <v>89.18</v>
      </c>
      <c r="E7" s="8" cm="1">
        <f t="array" ref="E7">_FV(B7,"Change (%)",TRUE)</f>
        <v>6.8200000000000005E-3</v>
      </c>
      <c r="F7" s="12" t="s">
        <v>145</v>
      </c>
      <c r="G7" s="10">
        <v>674</v>
      </c>
      <c r="H7" s="10">
        <v>158</v>
      </c>
      <c r="I7" s="11">
        <v>1</v>
      </c>
      <c r="J7" s="11">
        <v>0.54</v>
      </c>
      <c r="K7" s="7" cm="1">
        <f t="array" ref="K7">_FV(B7,"Price")</f>
        <v>752.9</v>
      </c>
    </row>
    <row r="8" spans="1:13" hidden="1" x14ac:dyDescent="0.35">
      <c r="A8">
        <v>7</v>
      </c>
      <c r="B8" t="e" vm="148">
        <v>#VALUE!</v>
      </c>
      <c r="C8" s="8" t="str" cm="1">
        <f t="array" ref="C8">_FV(B8,"Industry")</f>
        <v>Software &amp; IT Services</v>
      </c>
      <c r="D8" s="9" cm="1">
        <f t="array" ref="D8">_FV(B8,"P/E",TRUE)</f>
        <v>64.25</v>
      </c>
      <c r="E8" s="8" cm="1">
        <f t="array" ref="E8">_FV(B8,"Change (%)",TRUE)</f>
        <v>1.5545999999999999E-2</v>
      </c>
      <c r="F8" s="12" t="s">
        <v>115</v>
      </c>
      <c r="G8" s="10">
        <v>600</v>
      </c>
      <c r="H8" s="10">
        <v>46</v>
      </c>
      <c r="I8" s="11">
        <v>10</v>
      </c>
      <c r="J8" s="11">
        <v>0.26</v>
      </c>
      <c r="K8" s="22" cm="1">
        <f t="array" ref="K8">_FV(B8,"Price")</f>
        <v>601</v>
      </c>
      <c r="L8">
        <v>630</v>
      </c>
      <c r="M8">
        <v>50</v>
      </c>
    </row>
    <row r="9" spans="1:13" hidden="1" x14ac:dyDescent="0.35">
      <c r="A9">
        <v>8</v>
      </c>
      <c r="B9" t="e" vm="149">
        <v>#VALUE!</v>
      </c>
      <c r="C9" s="8" t="str" cm="1">
        <f t="array" ref="C9">_FV(B9,"Industry")</f>
        <v>Healthcare Providers &amp; Services</v>
      </c>
      <c r="D9" s="9" cm="1">
        <f t="array" ref="D9">_FV(B9,"P/E",TRUE)</f>
        <v>60.01</v>
      </c>
      <c r="E9" s="8" cm="1">
        <f t="array" ref="E9">_FV(B9,"Change (%)",TRUE)</f>
        <v>-4.13E-3</v>
      </c>
      <c r="F9" s="12" t="s">
        <v>118</v>
      </c>
      <c r="G9" s="10">
        <v>2466</v>
      </c>
      <c r="H9" s="10">
        <v>165</v>
      </c>
      <c r="I9" s="11">
        <v>10</v>
      </c>
      <c r="J9" s="11">
        <v>0.73</v>
      </c>
      <c r="K9" s="7" cm="1">
        <f t="array" ref="K9">_FV(B9,"Price")</f>
        <v>2652.6</v>
      </c>
      <c r="L9">
        <v>2688</v>
      </c>
      <c r="M9">
        <v>140</v>
      </c>
    </row>
    <row r="10" spans="1:13" hidden="1" x14ac:dyDescent="0.35">
      <c r="A10">
        <v>9</v>
      </c>
      <c r="B10" t="e" vm="150">
        <v>#VALUE!</v>
      </c>
      <c r="C10" s="8" t="str" cm="1">
        <f t="array" ref="C10">_FV(B10,"Industry")</f>
        <v>Investment Banking &amp; Investment Services</v>
      </c>
      <c r="D10" s="9" cm="1">
        <f t="array" ref="D10">_FV(B10,"P/E",TRUE)</f>
        <v>15.17</v>
      </c>
      <c r="E10" s="8" cm="1">
        <f t="array" ref="E10">_FV(B10,"Change (%)",TRUE)</f>
        <v>3.7728999999999999E-2</v>
      </c>
      <c r="F10" s="12" t="s">
        <v>193</v>
      </c>
      <c r="G10" s="10">
        <v>621</v>
      </c>
      <c r="H10" s="10">
        <v>64</v>
      </c>
      <c r="I10" s="11">
        <v>5</v>
      </c>
      <c r="J10" s="11">
        <v>3.44</v>
      </c>
      <c r="K10" s="13" cm="1">
        <f t="array" ref="K10">_FV(B10,"Price")</f>
        <v>669.75</v>
      </c>
      <c r="L10" t="s">
        <v>194</v>
      </c>
    </row>
    <row r="11" spans="1:13" hidden="1" x14ac:dyDescent="0.35">
      <c r="A11">
        <v>11</v>
      </c>
      <c r="B11" t="e" vm="27">
        <v>#VALUE!</v>
      </c>
      <c r="C11" s="8" t="str" cm="1">
        <f t="array" ref="C11">_FV(B11,"Industry")</f>
        <v>Banking Services</v>
      </c>
      <c r="D11" s="9" cm="1">
        <f t="array" ref="D11">_FV(B11,"P/E",TRUE)</f>
        <v>20.03</v>
      </c>
      <c r="E11" s="8" cm="1">
        <f t="array" ref="E11">_FV(B11,"Change (%)",TRUE)</f>
        <v>4.5360000000000001E-3</v>
      </c>
      <c r="F11" s="12" t="s">
        <v>107</v>
      </c>
      <c r="G11" s="10">
        <v>2300</v>
      </c>
      <c r="H11" s="10">
        <v>903</v>
      </c>
      <c r="I11" s="11">
        <v>2</v>
      </c>
      <c r="J11" s="11">
        <v>0.95</v>
      </c>
      <c r="K11" s="7" cm="1">
        <f t="array" ref="K11">_FV(B11,"Price")</f>
        <v>2402.75</v>
      </c>
      <c r="L11" s="7"/>
      <c r="M11" s="7"/>
    </row>
    <row r="12" spans="1:13" hidden="1" x14ac:dyDescent="0.35">
      <c r="A12">
        <v>12</v>
      </c>
      <c r="B12" t="e" vm="151">
        <v>#VALUE!</v>
      </c>
      <c r="C12" s="8" t="str" cm="1">
        <f t="array" ref="C12">_FV(B12,"Industry")</f>
        <v>Banking Services</v>
      </c>
      <c r="D12" s="9" cm="1">
        <f t="array" ref="D12">_FV(B12,"P/E",TRUE)</f>
        <v>33.43</v>
      </c>
      <c r="E12" s="8" cm="1">
        <f t="array" ref="E12">_FV(B12,"Change (%)",TRUE)</f>
        <v>2.0205000000000001E-2</v>
      </c>
      <c r="F12" s="12" t="s">
        <v>161</v>
      </c>
      <c r="G12" s="10">
        <v>623</v>
      </c>
      <c r="H12" s="10">
        <v>128</v>
      </c>
      <c r="I12" s="11">
        <v>2</v>
      </c>
      <c r="J12" s="11">
        <v>0.28000000000000003</v>
      </c>
      <c r="K12" s="13" cm="1">
        <f t="array" ref="K12">_FV(B12,"Price")</f>
        <v>711.95</v>
      </c>
    </row>
    <row r="13" spans="1:13" hidden="1" x14ac:dyDescent="0.35">
      <c r="A13">
        <v>13</v>
      </c>
      <c r="B13" t="e" vm="108">
        <v>#VALUE!</v>
      </c>
      <c r="C13" s="8" t="str" cm="1">
        <f t="array" ref="C13">_FV(B13,"Industry")</f>
        <v>Construction &amp; Engineering</v>
      </c>
      <c r="D13" s="9" cm="1">
        <f t="array" ref="D13">_FV(B13,"P/E",TRUE)</f>
        <v>49.15</v>
      </c>
      <c r="E13" s="8" cm="1">
        <f t="array" ref="E13">_FV(B13,"Change (%)",TRUE)</f>
        <v>-1.5259E-2</v>
      </c>
      <c r="F13" s="12" t="s">
        <v>166</v>
      </c>
      <c r="G13" s="10">
        <v>314</v>
      </c>
      <c r="H13" s="10">
        <v>44</v>
      </c>
      <c r="I13" s="11">
        <v>2</v>
      </c>
      <c r="J13" s="11">
        <v>0.56999999999999995</v>
      </c>
      <c r="K13" s="7" cm="1">
        <f t="array" ref="K13">_FV(B13,"Price")</f>
        <v>380.75</v>
      </c>
    </row>
    <row r="14" spans="1:13" hidden="1" x14ac:dyDescent="0.35">
      <c r="A14">
        <v>14</v>
      </c>
      <c r="B14" t="e" vm="99">
        <v>#VALUE!</v>
      </c>
      <c r="C14" s="8" t="str" cm="1">
        <f t="array" ref="C14">_FV(B14,"Industry")</f>
        <v>Automobiles &amp; Auto Parts</v>
      </c>
      <c r="D14" s="9" cm="1">
        <f t="array" ref="D14">_FV(B14,"P/E",TRUE)</f>
        <v>18.47</v>
      </c>
      <c r="E14" s="8" cm="1">
        <f t="array" ref="E14">_FV(B14,"Change (%)",TRUE)</f>
        <v>1.3422E-2</v>
      </c>
      <c r="F14" s="12" t="s">
        <v>149</v>
      </c>
      <c r="G14" s="10">
        <v>2147</v>
      </c>
      <c r="H14" s="10">
        <v>787</v>
      </c>
      <c r="I14" s="11">
        <v>2</v>
      </c>
      <c r="J14" s="11">
        <v>3.71</v>
      </c>
      <c r="K14" s="7" cm="1">
        <f t="array" ref="K14">_FV(B14,"Price")</f>
        <v>2423.65</v>
      </c>
    </row>
    <row r="15" spans="1:13" hidden="1" x14ac:dyDescent="0.35">
      <c r="A15">
        <v>15</v>
      </c>
      <c r="B15" t="e" vm="115">
        <v>#VALUE!</v>
      </c>
      <c r="C15" s="8" t="str" cm="1">
        <f t="array" ref="C15">_FV(B15,"Industry")</f>
        <v>Automobiles &amp; Auto Parts</v>
      </c>
      <c r="D15" s="9" cm="1">
        <f t="array" ref="D15">_FV(B15,"P/E",TRUE)</f>
        <v>45.15</v>
      </c>
      <c r="E15" s="8" cm="1">
        <f t="array" ref="E15">_FV(B15,"Change (%)",TRUE)</f>
        <v>2.3256000000000002E-2</v>
      </c>
      <c r="F15" s="12" t="s">
        <v>178</v>
      </c>
      <c r="G15" s="10">
        <v>150</v>
      </c>
      <c r="H15" s="10">
        <v>28</v>
      </c>
      <c r="I15" s="11">
        <v>1</v>
      </c>
      <c r="J15" s="11">
        <v>1.1000000000000001</v>
      </c>
      <c r="K15" s="22" cm="1">
        <f t="array" ref="K15">_FV(B15,"Price")</f>
        <v>136.4</v>
      </c>
    </row>
    <row r="16" spans="1:13" hidden="1" x14ac:dyDescent="0.35">
      <c r="A16">
        <v>16</v>
      </c>
      <c r="B16" t="e" vm="152">
        <v>#VALUE!</v>
      </c>
      <c r="C16" s="8" t="str" cm="1">
        <f t="array" ref="C16">_FV(B16,"Industry")</f>
        <v>Banking Services</v>
      </c>
      <c r="D16" s="9" cm="1">
        <f t="array" ref="D16">_FV(B16,"P/E",TRUE)</f>
        <v>6.42</v>
      </c>
      <c r="E16" s="8" cm="1">
        <f t="array" ref="E16">_FV(B16,"Change (%)",TRUE)</f>
        <v>2.1479999999999997E-3</v>
      </c>
      <c r="F16" s="12" t="s">
        <v>182</v>
      </c>
      <c r="G16" s="10">
        <v>109</v>
      </c>
      <c r="H16" s="10">
        <v>94</v>
      </c>
      <c r="I16" s="11">
        <v>2</v>
      </c>
      <c r="J16" s="11">
        <v>1.93</v>
      </c>
      <c r="K16" s="7" cm="1">
        <f t="array" ref="K16">_FV(B16,"Price")</f>
        <v>116.65</v>
      </c>
    </row>
    <row r="17" spans="1:14" hidden="1" x14ac:dyDescent="0.35">
      <c r="A17">
        <v>17</v>
      </c>
      <c r="B17" t="e" vm="153">
        <v>#VALUE!</v>
      </c>
      <c r="C17" s="8" t="str" cm="1">
        <f t="array" ref="C17">_FV(B17,"Industry")</f>
        <v>Homebuilding &amp; Construction Supplies</v>
      </c>
      <c r="D17" s="9" cm="1">
        <f t="array" ref="D17">_FV(B17,"P/E",TRUE)</f>
        <v>78</v>
      </c>
      <c r="E17" s="8" cm="1">
        <f t="array" ref="E17">_FV(B17,"Change (%)",TRUE)</f>
        <v>6.3299999999999997E-3</v>
      </c>
      <c r="F17" s="12" t="s">
        <v>123</v>
      </c>
      <c r="G17" s="10">
        <v>1767</v>
      </c>
      <c r="H17" s="10">
        <v>130</v>
      </c>
      <c r="I17" s="11">
        <v>1</v>
      </c>
      <c r="J17" s="11">
        <v>0.56999999999999995</v>
      </c>
      <c r="K17" s="13" cm="1">
        <f t="array" ref="K17">_FV(B17,"Price")</f>
        <v>2027</v>
      </c>
    </row>
    <row r="18" spans="1:14" hidden="1" x14ac:dyDescent="0.35">
      <c r="A18">
        <v>18</v>
      </c>
      <c r="B18" t="e" vm="154">
        <v>#VALUE!</v>
      </c>
      <c r="C18" s="8" t="str" cm="1">
        <f t="array" ref="C18">_FV(B18,"Industry")</f>
        <v>Chemicals</v>
      </c>
      <c r="D18" s="9" cm="1">
        <f t="array" ref="D18">_FV(B18,"P/E",TRUE)</f>
        <v>29.27</v>
      </c>
      <c r="E18" s="8" cm="1">
        <f t="array" ref="E18">_FV(B18,"Change (%)",TRUE)</f>
        <v>-8.6540000000000002E-3</v>
      </c>
      <c r="F18" s="12" t="s">
        <v>167</v>
      </c>
      <c r="G18" s="10">
        <v>2755</v>
      </c>
      <c r="H18" s="10">
        <v>325</v>
      </c>
      <c r="I18" s="11">
        <v>2</v>
      </c>
      <c r="J18" s="11">
        <v>0.13</v>
      </c>
      <c r="K18" s="7" cm="1">
        <f t="array" ref="K18">_FV(B18,"Price")</f>
        <v>3081.65</v>
      </c>
    </row>
    <row r="19" spans="1:14" hidden="1" x14ac:dyDescent="0.35">
      <c r="A19">
        <v>19</v>
      </c>
      <c r="B19" t="e" vm="155">
        <v>#VALUE!</v>
      </c>
      <c r="C19" s="8" t="str" cm="1">
        <f t="array" ref="C19">_FV(B19,"Industry")</f>
        <v>Hotels &amp; Entertainment Services</v>
      </c>
      <c r="D19" s="9" cm="1">
        <f t="array" ref="D19">_FV(B19,"P/E",TRUE)</f>
        <v>78.64</v>
      </c>
      <c r="E19" s="8" cm="1">
        <f t="array" ref="E19">_FV(B19,"Change (%)",TRUE)</f>
        <v>2.6912999999999999E-2</v>
      </c>
      <c r="F19" s="12" t="s">
        <v>195</v>
      </c>
      <c r="G19" s="10">
        <v>1330</v>
      </c>
      <c r="H19" s="10">
        <v>259</v>
      </c>
      <c r="I19" s="11">
        <v>5</v>
      </c>
      <c r="J19" s="11">
        <v>1</v>
      </c>
      <c r="K19" s="13" cm="1">
        <f t="array" ref="K19">_FV(B19,"Price")</f>
        <v>2621.35</v>
      </c>
      <c r="L19" t="s">
        <v>192</v>
      </c>
      <c r="M19">
        <v>10</v>
      </c>
      <c r="N19" s="7">
        <f>M19*K19</f>
        <v>26213.5</v>
      </c>
    </row>
    <row r="20" spans="1:14" hidden="1" x14ac:dyDescent="0.35">
      <c r="A20">
        <v>20</v>
      </c>
      <c r="B20" t="e" vm="17">
        <v>#VALUE!</v>
      </c>
      <c r="C20" s="8" t="str" cm="1">
        <f t="array" ref="C20">_FV(B20,"Industry")</f>
        <v>Banking Services</v>
      </c>
      <c r="D20" s="9" cm="1">
        <f t="array" ref="D20">_FV(B20,"P/E",TRUE)</f>
        <v>16.28</v>
      </c>
      <c r="E20" s="8" cm="1">
        <f t="array" ref="E20">_FV(B20,"Change (%)",TRUE)</f>
        <v>1.5656E-2</v>
      </c>
      <c r="F20" s="12" t="s">
        <v>136</v>
      </c>
      <c r="G20" s="10">
        <v>869</v>
      </c>
      <c r="H20" s="10">
        <v>560</v>
      </c>
      <c r="I20" s="11">
        <v>10</v>
      </c>
      <c r="J20" s="11">
        <v>0.54</v>
      </c>
      <c r="K20" s="7" cm="1">
        <f t="array" ref="K20">_FV(B20,"Price")</f>
        <v>927.7</v>
      </c>
    </row>
    <row r="21" spans="1:14" hidden="1" x14ac:dyDescent="0.35">
      <c r="A21">
        <v>21</v>
      </c>
      <c r="B21" t="e" vm="156">
        <v>#VALUE!</v>
      </c>
      <c r="C21" s="8" t="str" cm="1">
        <f t="array" ref="C21">_FV(B21,"Industry")</f>
        <v>Food &amp; Tobacco</v>
      </c>
      <c r="D21" s="9" cm="1">
        <f t="array" ref="D21">_FV(B21,"P/E",TRUE)</f>
        <v>16.989999999999998</v>
      </c>
      <c r="E21" s="8" cm="1">
        <f t="array" ref="E21">_FV(B21,"Change (%)",TRUE)</f>
        <v>2.3140000000000001E-3</v>
      </c>
      <c r="F21" s="12" t="s">
        <v>159</v>
      </c>
      <c r="G21" s="10">
        <v>88</v>
      </c>
      <c r="H21" s="10">
        <v>33</v>
      </c>
      <c r="I21" s="11">
        <v>1</v>
      </c>
      <c r="J21" s="11">
        <v>0.96</v>
      </c>
      <c r="K21" s="7" cm="1">
        <f t="array" ref="K21">_FV(B21,"Price")</f>
        <v>129.94999999999999</v>
      </c>
    </row>
    <row r="22" spans="1:14" hidden="1" x14ac:dyDescent="0.35">
      <c r="A22">
        <v>22</v>
      </c>
      <c r="B22" t="e" vm="157">
        <v>#VALUE!</v>
      </c>
      <c r="C22" s="8" t="str" cm="1">
        <f t="array" ref="C22">_FV(B22,"Industry")</f>
        <v>Banking Services</v>
      </c>
      <c r="D22" s="9" cm="1">
        <f t="array" ref="D22">_FV(B22,"P/E",TRUE)</f>
        <v>11.6</v>
      </c>
      <c r="E22" s="8" cm="1">
        <f t="array" ref="E22">_FV(B22,"Change (%)",TRUE)</f>
        <v>2.5009999999999998E-2</v>
      </c>
      <c r="F22" s="12" t="s">
        <v>175</v>
      </c>
      <c r="G22" s="10">
        <v>328</v>
      </c>
      <c r="H22" s="10">
        <v>424</v>
      </c>
      <c r="I22" s="11">
        <v>2</v>
      </c>
      <c r="J22" s="11">
        <v>2.3199999999999998</v>
      </c>
      <c r="K22" s="7" cm="1">
        <f t="array" ref="K22">_FV(B22,"Price")</f>
        <v>366.8</v>
      </c>
    </row>
    <row r="23" spans="1:14" hidden="1" x14ac:dyDescent="0.35">
      <c r="A23">
        <v>23</v>
      </c>
      <c r="B23" t="e" vm="158">
        <v>#VALUE!</v>
      </c>
      <c r="C23" s="8" t="str" cm="1">
        <f t="array" ref="C23">_FV(B23,"Industry")</f>
        <v>Banking Services</v>
      </c>
      <c r="D23" s="9" cm="1">
        <f t="array" ref="D23">_FV(B23,"P/E",TRUE)</f>
        <v>9.16</v>
      </c>
      <c r="E23" s="8" cm="1">
        <f t="array" ref="E23">_FV(B23,"Change (%)",TRUE)</f>
        <v>-2.8010000000000001E-3</v>
      </c>
      <c r="F23" s="12" t="s">
        <v>174</v>
      </c>
      <c r="G23" s="10">
        <v>31</v>
      </c>
      <c r="H23" s="10">
        <v>84</v>
      </c>
      <c r="I23" s="11">
        <v>2</v>
      </c>
      <c r="J23" s="11">
        <v>0</v>
      </c>
      <c r="K23" s="7" cm="1">
        <f t="array" ref="K23">_FV(B23,"Price")</f>
        <v>35.6</v>
      </c>
    </row>
    <row r="24" spans="1:14" hidden="1" x14ac:dyDescent="0.35">
      <c r="A24">
        <v>24</v>
      </c>
      <c r="B24" t="e" vm="50">
        <v>#VALUE!</v>
      </c>
      <c r="C24" s="8" t="str" cm="1">
        <f t="array" ref="C24">_FV(B24,"Industry")</f>
        <v>Media &amp; Publishing</v>
      </c>
      <c r="D24" s="9" cm="1">
        <f t="array" ref="D24">_FV(B24,"P/E",TRUE)</f>
        <v>19.28</v>
      </c>
      <c r="E24" s="8" cm="1">
        <f t="array" ref="E24">_FV(B24,"Change (%)",TRUE)</f>
        <v>-1.3123000000000001E-2</v>
      </c>
      <c r="F24" s="12" t="s">
        <v>111</v>
      </c>
      <c r="G24" s="10">
        <v>19</v>
      </c>
      <c r="H24" s="10">
        <v>23</v>
      </c>
      <c r="I24" s="11">
        <v>2</v>
      </c>
      <c r="J24" s="11">
        <v>0</v>
      </c>
      <c r="K24" s="22" cm="1">
        <f t="array" ref="K24">_FV(B24,"Price")</f>
        <v>18.8</v>
      </c>
      <c r="L24">
        <v>22</v>
      </c>
      <c r="M24">
        <v>110</v>
      </c>
    </row>
    <row r="25" spans="1:14" hidden="1" x14ac:dyDescent="0.35">
      <c r="A25">
        <v>25</v>
      </c>
      <c r="B25" t="e" vm="31">
        <v>#VALUE!</v>
      </c>
      <c r="C25" s="8" t="str" cm="1">
        <f t="array" ref="C25">_FV(B25,"Industry")</f>
        <v>Automobiles &amp; Auto Parts</v>
      </c>
      <c r="D25" s="9" cm="1">
        <f t="array" ref="D25">_FV(B25,"P/E",TRUE)</f>
        <v>126.28</v>
      </c>
      <c r="E25" s="8" cm="1">
        <f t="array" ref="E25">_FV(B25,"Change (%)",TRUE)</f>
        <v>-9.4870000000000006E-3</v>
      </c>
      <c r="F25" s="12" t="s">
        <v>108</v>
      </c>
      <c r="G25" s="10">
        <v>556</v>
      </c>
      <c r="H25" s="10">
        <v>28</v>
      </c>
      <c r="I25" s="11">
        <v>10</v>
      </c>
      <c r="J25" s="11">
        <v>0.11</v>
      </c>
      <c r="K25" s="7" cm="1">
        <f t="array" ref="K25">_FV(B25,"Price")</f>
        <v>668.2</v>
      </c>
      <c r="L25">
        <v>635</v>
      </c>
      <c r="M25">
        <v>174</v>
      </c>
    </row>
    <row r="26" spans="1:14" hidden="1" x14ac:dyDescent="0.35">
      <c r="A26">
        <v>26</v>
      </c>
      <c r="B26" t="e" vm="60">
        <v>#VALUE!</v>
      </c>
      <c r="C26" s="8" t="str" cm="1">
        <f t="array" ref="C26">_FV(B26,"Industry")</f>
        <v>Textiles &amp; Apparel</v>
      </c>
      <c r="D26" s="9" cm="1">
        <f t="array" ref="D26">_FV(B26,"P/E",TRUE)</f>
        <v>36.659999999999997</v>
      </c>
      <c r="E26" s="8" cm="1">
        <f t="array" ref="E26">_FV(B26,"Change (%)",TRUE)</f>
        <v>-9.4609999999999996E-4</v>
      </c>
      <c r="F26" s="12" t="s">
        <v>120</v>
      </c>
      <c r="G26" s="10">
        <v>57</v>
      </c>
      <c r="H26" s="10">
        <v>7</v>
      </c>
      <c r="I26" s="11">
        <v>1</v>
      </c>
      <c r="J26" s="11">
        <v>0.68</v>
      </c>
      <c r="K26" s="22" cm="1">
        <f t="array" ref="K26">_FV(B26,"Price")</f>
        <v>52.8</v>
      </c>
      <c r="L26">
        <v>50.7</v>
      </c>
      <c r="M26">
        <v>1200</v>
      </c>
    </row>
    <row r="27" spans="1:14" hidden="1" x14ac:dyDescent="0.35">
      <c r="A27">
        <v>27</v>
      </c>
      <c r="B27" t="e" vm="159">
        <v>#VALUE!</v>
      </c>
      <c r="C27" s="8" t="str" cm="1">
        <f t="array" ref="C27">_FV(B27,"Industry")</f>
        <v>Construction &amp; Engineering</v>
      </c>
      <c r="D27" s="9" cm="1">
        <f t="array" ref="D27">_FV(B27,"P/E",TRUE)</f>
        <v>56.6</v>
      </c>
      <c r="E27" s="8" cm="1">
        <f t="array" ref="E27">_FV(B27,"Change (%)",TRUE)</f>
        <v>1.8891000000000002E-2</v>
      </c>
      <c r="F27" s="12" t="s">
        <v>169</v>
      </c>
      <c r="G27" s="10">
        <v>4210</v>
      </c>
      <c r="H27" s="10">
        <v>4733</v>
      </c>
      <c r="I27" s="11">
        <v>2</v>
      </c>
      <c r="J27" s="11">
        <v>0.46</v>
      </c>
      <c r="K27" s="13" cm="1">
        <f t="array" ref="K27">_FV(B27,"Price")</f>
        <v>4878.55</v>
      </c>
    </row>
    <row r="28" spans="1:14" hidden="1" x14ac:dyDescent="0.35">
      <c r="A28">
        <v>28</v>
      </c>
      <c r="B28" t="e" vm="160">
        <v>#VALUE!</v>
      </c>
      <c r="C28" s="8" t="str" cm="1">
        <f t="array" ref="C28">_FV(B28,"Industry")</f>
        <v>Software &amp; IT Services</v>
      </c>
      <c r="D28" s="9" cm="1">
        <f t="array" ref="D28">_FV(B28,"P/E",TRUE)</f>
        <v>22.45</v>
      </c>
      <c r="E28" s="8" cm="1">
        <f t="array" ref="E28">_FV(B28,"Change (%)",TRUE)</f>
        <v>-7.9379999999999989E-3</v>
      </c>
      <c r="F28" s="12" t="s">
        <v>187</v>
      </c>
      <c r="G28" s="10">
        <v>436</v>
      </c>
      <c r="H28" s="10">
        <v>100</v>
      </c>
      <c r="I28" s="11">
        <v>10</v>
      </c>
      <c r="J28" s="11">
        <v>0.68</v>
      </c>
      <c r="K28" s="7" cm="1">
        <f t="array" ref="K28">_FV(B28,"Price")</f>
        <v>512.4</v>
      </c>
    </row>
    <row r="29" spans="1:14" hidden="1" x14ac:dyDescent="0.35">
      <c r="A29">
        <v>29</v>
      </c>
      <c r="B29" t="e" vm="11">
        <v>#VALUE!</v>
      </c>
      <c r="C29" s="8" t="str" cm="1">
        <f t="array" ref="C29">_FV(B29,"Industry")</f>
        <v>Banking Services</v>
      </c>
      <c r="D29" s="9" cm="1">
        <f t="array" ref="D29">_FV(B29,"P/E",TRUE)</f>
        <v>22.8</v>
      </c>
      <c r="E29" s="8" cm="1">
        <f t="array" ref="E29">_FV(B29,"Change (%)",TRUE)</f>
        <v>5.1459999999999995E-3</v>
      </c>
      <c r="F29" s="12" t="s">
        <v>144</v>
      </c>
      <c r="G29" s="10">
        <v>1407</v>
      </c>
      <c r="H29" s="10">
        <v>378</v>
      </c>
      <c r="I29" s="11">
        <v>1</v>
      </c>
      <c r="J29" s="11">
        <v>0.44</v>
      </c>
      <c r="K29" s="13" cm="1">
        <f t="array" ref="K29">_FV(B29,"Price")</f>
        <v>1494.15</v>
      </c>
    </row>
    <row r="30" spans="1:14" hidden="1" x14ac:dyDescent="0.35">
      <c r="A30">
        <v>30</v>
      </c>
      <c r="B30" t="e" vm="161">
        <v>#VALUE!</v>
      </c>
      <c r="C30" s="8" t="str" cm="1">
        <f t="array" ref="C30">_FV(B30,"Industry")</f>
        <v>Software &amp; IT Services</v>
      </c>
      <c r="D30" s="9" cm="1">
        <f t="array" ref="D30">_FV(B30,"P/E",TRUE)</f>
        <v>4.8099999999999996</v>
      </c>
      <c r="E30" s="8" cm="1">
        <f t="array" ref="E30">_FV(B30,"Change (%)",TRUE)</f>
        <v>2.5274000000000001E-2</v>
      </c>
      <c r="F30" s="12" t="s">
        <v>152</v>
      </c>
      <c r="G30" s="10">
        <v>4240</v>
      </c>
      <c r="H30" s="10">
        <v>1501</v>
      </c>
      <c r="I30" s="11">
        <v>10</v>
      </c>
      <c r="J30" s="11">
        <v>0.17</v>
      </c>
      <c r="K30" s="7" cm="1">
        <f t="array" ref="K30">_FV(B30,"Price")</f>
        <v>4760.45</v>
      </c>
    </row>
    <row r="31" spans="1:14" hidden="1" x14ac:dyDescent="0.35">
      <c r="A31">
        <v>31</v>
      </c>
      <c r="B31" t="e" vm="23">
        <v>#VALUE!</v>
      </c>
      <c r="C31" s="8" t="str" cm="1">
        <f t="array" ref="C31">_FV(B31,"Industry")</f>
        <v>Electrical Utilities &amp; IPPs</v>
      </c>
      <c r="D31" s="9" cm="1">
        <f t="array" ref="D31">_FV(B31,"P/E",TRUE)</f>
        <v>51.72</v>
      </c>
      <c r="E31" s="8" cm="1">
        <f t="array" ref="E31">_FV(B31,"Change (%)",TRUE)</f>
        <v>-1.1651E-2</v>
      </c>
      <c r="F31" s="12" t="s">
        <v>146</v>
      </c>
      <c r="G31" s="10">
        <v>353</v>
      </c>
      <c r="H31" s="10">
        <v>96</v>
      </c>
      <c r="I31" s="11">
        <v>10</v>
      </c>
      <c r="J31" s="11">
        <v>0.66</v>
      </c>
      <c r="K31" s="22" cm="1">
        <f t="array" ref="K31">_FV(B31,"Price")</f>
        <v>301.14999999999998</v>
      </c>
    </row>
    <row r="32" spans="1:14" hidden="1" x14ac:dyDescent="0.35">
      <c r="A32">
        <v>32</v>
      </c>
      <c r="B32" t="e" vm="32">
        <v>#VALUE!</v>
      </c>
      <c r="C32" s="8" t="str" cm="1">
        <f t="array" ref="C32">_FV(B32,"Industry")</f>
        <v>Software &amp; IT Services</v>
      </c>
      <c r="D32" s="9" cm="1">
        <f t="array" ref="D32">_FV(B32,"P/E",TRUE)</f>
        <v>91.33</v>
      </c>
      <c r="E32" s="8" cm="1">
        <f t="array" ref="E32">_FV(B32,"Change (%)",TRUE)</f>
        <v>1.4702E-2</v>
      </c>
      <c r="F32" s="12" t="s">
        <v>147</v>
      </c>
      <c r="G32" s="10">
        <v>5575</v>
      </c>
      <c r="H32" s="10">
        <v>207</v>
      </c>
      <c r="I32" s="11">
        <v>10</v>
      </c>
      <c r="J32" s="11">
        <v>0.32</v>
      </c>
      <c r="K32" s="7" cm="1">
        <f t="array" ref="K32">_FV(B32,"Price")</f>
        <v>7512.6</v>
      </c>
    </row>
    <row r="33" spans="1:14" hidden="1" x14ac:dyDescent="0.35">
      <c r="A33">
        <v>33</v>
      </c>
      <c r="B33" t="e" vm="128">
        <v>#VALUE!</v>
      </c>
      <c r="C33" s="8" t="str" cm="1">
        <f t="array" ref="C33">_FV(B33,"Industry")</f>
        <v>Banking Services</v>
      </c>
      <c r="D33" s="9" cm="1">
        <f t="array" ref="D33">_FV(B33,"P/E",TRUE)</f>
        <v>22.1</v>
      </c>
      <c r="E33" s="8" cm="1">
        <f t="array" ref="E33">_FV(B33,"Change (%)",TRUE)</f>
        <v>1.0482E-2</v>
      </c>
      <c r="F33" s="12" t="s">
        <v>112</v>
      </c>
      <c r="G33" s="10">
        <v>700</v>
      </c>
      <c r="H33" s="10">
        <v>227</v>
      </c>
      <c r="I33" s="11">
        <v>2</v>
      </c>
      <c r="J33" s="11">
        <v>0.28000000000000003</v>
      </c>
      <c r="K33" s="7" cm="1">
        <f t="array" ref="K33">_FV(B33,"Price")</f>
        <v>718.2</v>
      </c>
      <c r="L33">
        <v>788</v>
      </c>
      <c r="M33">
        <v>20</v>
      </c>
      <c r="N33" s="7">
        <f>M33*K33</f>
        <v>14364</v>
      </c>
    </row>
    <row r="34" spans="1:14" hidden="1" x14ac:dyDescent="0.35">
      <c r="A34">
        <v>34</v>
      </c>
      <c r="B34" t="e" vm="162">
        <v>#VALUE!</v>
      </c>
      <c r="C34" s="8" t="str" cm="1">
        <f t="array" ref="C34">_FV(B34,"Industry")</f>
        <v>Food &amp; Tobacco</v>
      </c>
      <c r="D34" s="9" cm="1">
        <f t="array" ref="D34">_FV(B34,"P/E",TRUE)</f>
        <v>14.9</v>
      </c>
      <c r="E34" s="8" cm="1">
        <f t="array" ref="E34">_FV(B34,"Change (%)",TRUE)</f>
        <v>1.877E-3</v>
      </c>
      <c r="F34" s="12" t="s">
        <v>163</v>
      </c>
      <c r="G34" s="10">
        <v>342</v>
      </c>
      <c r="H34" s="10">
        <v>246</v>
      </c>
      <c r="I34" s="11">
        <v>10</v>
      </c>
      <c r="J34" s="11">
        <v>1.1200000000000001</v>
      </c>
      <c r="K34" s="7" cm="1">
        <f t="array" ref="K34">_FV(B34,"Price")</f>
        <v>533.79999999999995</v>
      </c>
    </row>
    <row r="35" spans="1:14" hidden="1" x14ac:dyDescent="0.35">
      <c r="A35">
        <v>35</v>
      </c>
      <c r="B35" t="e" vm="112">
        <v>#VALUE!</v>
      </c>
      <c r="C35" s="8" t="str" cm="1">
        <f t="array" ref="C35">_FV(B35,"Industry")</f>
        <v>Textiles &amp; Apparel</v>
      </c>
      <c r="D35" s="9" cm="1">
        <f t="array" ref="D35">_FV(B35,"P/E",TRUE)</f>
        <v>107.99</v>
      </c>
      <c r="E35" s="8" cm="1">
        <f t="array" ref="E35">_FV(B35,"Change (%)",TRUE)</f>
        <v>2.032E-3</v>
      </c>
      <c r="F35" s="12" t="s">
        <v>154</v>
      </c>
      <c r="G35" s="10">
        <v>2351</v>
      </c>
      <c r="H35" s="10">
        <v>87</v>
      </c>
      <c r="I35" s="11">
        <v>1</v>
      </c>
      <c r="J35" s="11">
        <v>0.15</v>
      </c>
      <c r="K35" s="7" cm="1">
        <f t="array" ref="K35">_FV(B35,"Price")</f>
        <v>2712.75</v>
      </c>
    </row>
    <row r="36" spans="1:14" hidden="1" x14ac:dyDescent="0.35">
      <c r="A36">
        <v>36</v>
      </c>
      <c r="B36" t="e" vm="163">
        <v>#VALUE!</v>
      </c>
      <c r="C36" s="8" t="str" cm="1">
        <f t="array" ref="C36">_FV(B36,"Industry")</f>
        <v>Machinery, Equipment &amp; Components</v>
      </c>
      <c r="D36" s="9" cm="1">
        <f t="array" ref="D36">_FV(B36,"P/E",TRUE)</f>
        <v>15.58</v>
      </c>
      <c r="E36" s="8" cm="1">
        <f t="array" ref="E36">_FV(B36,"Change (%)",TRUE)</f>
        <v>-1.9335000000000001E-2</v>
      </c>
      <c r="F36" s="12" t="s">
        <v>200</v>
      </c>
      <c r="G36" s="10">
        <v>80</v>
      </c>
      <c r="H36" s="10">
        <v>29</v>
      </c>
      <c r="I36" s="11">
        <v>1</v>
      </c>
      <c r="J36" s="11">
        <v>1.21</v>
      </c>
      <c r="K36" s="13" cm="1">
        <f t="array" ref="K36">_FV(B36,"Price")</f>
        <v>81.150000000000006</v>
      </c>
      <c r="L36" t="s">
        <v>192</v>
      </c>
      <c r="M36">
        <v>250</v>
      </c>
      <c r="N36" s="7">
        <f>M36*K36</f>
        <v>20287.5</v>
      </c>
    </row>
    <row r="37" spans="1:14" hidden="1" x14ac:dyDescent="0.35">
      <c r="A37">
        <v>37</v>
      </c>
      <c r="B37" t="e" vm="21">
        <v>#VALUE!</v>
      </c>
      <c r="C37" s="8" t="str" cm="1">
        <f t="array" ref="C37">_FV(B37,"Industry")</f>
        <v>Banking Services</v>
      </c>
      <c r="D37" s="9" cm="1">
        <f t="array" ref="D37">_FV(B37,"P/E",TRUE)</f>
        <v>5.33</v>
      </c>
      <c r="E37" s="8" cm="1">
        <f t="array" ref="E37">_FV(B37,"Change (%)",TRUE)</f>
        <v>-1.7632000000000002E-2</v>
      </c>
      <c r="F37" s="12" t="s">
        <v>121</v>
      </c>
      <c r="G37" s="10">
        <v>42</v>
      </c>
      <c r="H37" s="10">
        <v>94</v>
      </c>
      <c r="I37" s="11">
        <v>10</v>
      </c>
      <c r="J37" s="11">
        <v>0</v>
      </c>
      <c r="K37" s="22" cm="1">
        <f t="array" ref="K37">_FV(B37,"Price")</f>
        <v>39</v>
      </c>
      <c r="L37">
        <v>44.7</v>
      </c>
      <c r="M37">
        <v>100</v>
      </c>
    </row>
    <row r="38" spans="1:14" hidden="1" x14ac:dyDescent="0.35">
      <c r="A38">
        <v>39</v>
      </c>
      <c r="B38" t="e" vm="164">
        <v>#VALUE!</v>
      </c>
      <c r="C38" s="8" t="str" cm="1">
        <f t="array" ref="C38">_FV(B38,"Industry")</f>
        <v>Banking Services</v>
      </c>
      <c r="D38" s="9" cm="1">
        <f t="array" ref="D38">_FV(B38,"P/E",TRUE)</f>
        <v>7.13</v>
      </c>
      <c r="E38" s="8" cm="1">
        <f t="array" ref="E38">_FV(B38,"Change (%)",TRUE)</f>
        <v>4.6680000000000003E-3</v>
      </c>
      <c r="F38" s="12" t="s">
        <v>186</v>
      </c>
      <c r="G38" s="10">
        <v>206</v>
      </c>
      <c r="H38" s="10">
        <v>344</v>
      </c>
      <c r="I38" s="11">
        <v>10</v>
      </c>
      <c r="J38" s="11">
        <v>0</v>
      </c>
      <c r="K38" s="7" cm="1">
        <f t="array" ref="K38">_FV(B38,"Price")</f>
        <v>226</v>
      </c>
    </row>
    <row r="39" spans="1:14" hidden="1" x14ac:dyDescent="0.35">
      <c r="A39">
        <v>40</v>
      </c>
      <c r="B39" t="e" vm="165">
        <v>#VALUE!</v>
      </c>
      <c r="C39" s="8" t="str" cm="1">
        <f t="array" ref="C39">_FV(B39,"Industry")</f>
        <v>Software &amp; IT Services</v>
      </c>
      <c r="D39" s="9" cm="1">
        <f t="array" ref="D39">_FV(B39,"P/E",TRUE)</f>
        <v>24.25</v>
      </c>
      <c r="E39" s="8" cm="1">
        <f t="array" ref="E39">_FV(B39,"Change (%)",TRUE)</f>
        <v>-1.8615E-2</v>
      </c>
      <c r="F39" s="12" t="s">
        <v>198</v>
      </c>
      <c r="G39" s="10">
        <v>190</v>
      </c>
      <c r="H39" s="10">
        <v>38</v>
      </c>
      <c r="I39" s="11">
        <v>1</v>
      </c>
      <c r="J39" s="11">
        <v>2.23</v>
      </c>
      <c r="K39" s="13" cm="1">
        <f t="array" ref="K39">_FV(B39,"Price")</f>
        <v>282.05</v>
      </c>
      <c r="L39" t="s">
        <v>192</v>
      </c>
      <c r="N39" s="7"/>
    </row>
    <row r="40" spans="1:14" hidden="1" x14ac:dyDescent="0.35">
      <c r="A40">
        <v>42</v>
      </c>
      <c r="B40" t="e" vm="166">
        <v>#VALUE!</v>
      </c>
      <c r="C40" s="8" t="str" cm="1">
        <f t="array" ref="C40">_FV(B40,"Industry")</f>
        <v>Chemicals</v>
      </c>
      <c r="D40" s="9" cm="1">
        <f t="array" ref="D40">_FV(B40,"P/E",TRUE)</f>
        <v>11.52</v>
      </c>
      <c r="E40" s="8" cm="1">
        <f t="array" ref="E40">_FV(B40,"Change (%)",TRUE)</f>
        <v>6.4810000000000009E-4</v>
      </c>
      <c r="F40" s="12" t="s">
        <v>176</v>
      </c>
      <c r="G40" s="10">
        <v>122</v>
      </c>
      <c r="H40" s="10">
        <v>101</v>
      </c>
      <c r="I40" s="11">
        <v>2</v>
      </c>
      <c r="J40" s="11">
        <v>1.3</v>
      </c>
      <c r="K40" s="7" cm="1">
        <f t="array" ref="K40">_FV(B40,"Price")</f>
        <v>154.4</v>
      </c>
    </row>
    <row r="41" spans="1:14" hidden="1" x14ac:dyDescent="0.35">
      <c r="A41">
        <v>43</v>
      </c>
      <c r="B41" t="e" vm="24">
        <v>#VALUE!</v>
      </c>
      <c r="C41" s="8" t="str" cm="1">
        <f t="array" ref="C41">_FV(B41,"Industry")</f>
        <v>Food &amp; Tobacco</v>
      </c>
      <c r="D41" s="9" cm="1">
        <f t="array" ref="D41">_FV(B41,"P/E",TRUE)</f>
        <v>20.34</v>
      </c>
      <c r="E41" s="8" cm="1">
        <f t="array" ref="E41">_FV(B41,"Change (%)",TRUE)</f>
        <v>2.1472000000000002E-2</v>
      </c>
      <c r="F41" s="12" t="s">
        <v>134</v>
      </c>
      <c r="G41" s="10">
        <v>207</v>
      </c>
      <c r="H41" s="10">
        <v>49</v>
      </c>
      <c r="I41" s="11">
        <v>1</v>
      </c>
      <c r="J41" s="11">
        <v>4.3</v>
      </c>
      <c r="K41" s="7" cm="1">
        <f t="array" ref="K41">_FV(B41,"Price")</f>
        <v>249.75</v>
      </c>
    </row>
    <row r="42" spans="1:14" hidden="1" x14ac:dyDescent="0.35">
      <c r="A42">
        <v>44</v>
      </c>
      <c r="B42" t="e" vm="81">
        <v>#VALUE!</v>
      </c>
      <c r="C42" s="8" t="str" cm="1">
        <f t="array" ref="C42">_FV(B42,"Industry")</f>
        <v>Construction &amp; Engineering</v>
      </c>
      <c r="D42" s="9" cm="1">
        <f t="array" ref="D42">_FV(B42,"P/E",TRUE)</f>
        <v>29.14</v>
      </c>
      <c r="E42" s="8" cm="1">
        <f t="array" ref="E42">_FV(B42,"Change (%)",TRUE)</f>
        <v>1.0105999999999999E-2</v>
      </c>
      <c r="F42" s="12" t="s">
        <v>142</v>
      </c>
      <c r="G42" s="10">
        <v>1455</v>
      </c>
      <c r="H42" s="10">
        <v>545</v>
      </c>
      <c r="I42" s="11">
        <v>2</v>
      </c>
      <c r="J42" s="11">
        <v>1.01</v>
      </c>
      <c r="K42" s="7" cm="1">
        <f t="array" ref="K42">_FV(B42,"Price")</f>
        <v>1774.05</v>
      </c>
    </row>
    <row r="43" spans="1:14" hidden="1" x14ac:dyDescent="0.35">
      <c r="A43">
        <v>45</v>
      </c>
      <c r="B43" t="e" vm="167">
        <v>#VALUE!</v>
      </c>
      <c r="C43" s="8" t="str" cm="1">
        <f t="array" ref="C43">_FV(B43,"Industry")</f>
        <v>Automobiles &amp; Auto Parts</v>
      </c>
      <c r="D43" s="9" cm="1">
        <f t="array" ref="D43">_FV(B43,"P/E",TRUE)</f>
        <v>33.6</v>
      </c>
      <c r="E43" s="8" cm="1">
        <f t="array" ref="E43">_FV(B43,"Change (%)",TRUE)</f>
        <v>6.8269999999999997E-3</v>
      </c>
      <c r="F43" s="12" t="s">
        <v>185</v>
      </c>
      <c r="G43" s="10">
        <v>206</v>
      </c>
      <c r="H43" s="10">
        <v>49</v>
      </c>
      <c r="I43" s="11">
        <v>2</v>
      </c>
      <c r="J43" s="11">
        <v>0.33</v>
      </c>
      <c r="K43" s="22" cm="1">
        <f t="array" ref="K43">_FV(B43,"Price")</f>
        <v>199.1</v>
      </c>
    </row>
    <row r="44" spans="1:14" hidden="1" x14ac:dyDescent="0.35">
      <c r="A44">
        <v>46</v>
      </c>
      <c r="B44" t="e" vm="168">
        <v>#VALUE!</v>
      </c>
      <c r="C44" s="8" t="str" cm="1">
        <f t="array" ref="C44">_FV(B44,"Industry")</f>
        <v>Pharmaceuticals</v>
      </c>
      <c r="D44" s="9" cm="1">
        <f t="array" ref="D44">_FV(B44,"P/E",TRUE)</f>
        <v>46.07</v>
      </c>
      <c r="E44" s="8" cm="1">
        <f t="array" ref="E44">_FV(B44,"Change (%)",TRUE)</f>
        <v>-1.7280000000000002E-3</v>
      </c>
      <c r="F44" s="12" t="s">
        <v>125</v>
      </c>
      <c r="G44" s="10">
        <v>3296</v>
      </c>
      <c r="H44" s="10">
        <v>374</v>
      </c>
      <c r="I44" s="11">
        <v>2</v>
      </c>
      <c r="J44" s="11">
        <v>0.45</v>
      </c>
      <c r="K44" s="7" cm="1">
        <f t="array" ref="K44">_FV(B44,"Price")</f>
        <v>4448.55</v>
      </c>
    </row>
    <row r="45" spans="1:14" hidden="1" x14ac:dyDescent="0.35">
      <c r="A45">
        <v>47</v>
      </c>
      <c r="B45" t="e" vm="169">
        <v>#VALUE!</v>
      </c>
      <c r="C45" s="8" t="str" cm="1">
        <f t="array" ref="C45">_FV(B45,"Industry")</f>
        <v>Banking Services</v>
      </c>
      <c r="D45" s="9" cm="1">
        <f t="array" ref="D45">_FV(B45,"P/E",TRUE)</f>
        <v>13.45</v>
      </c>
      <c r="E45" s="8" cm="1">
        <f t="array" ref="E45">_FV(B45,"Change (%)",TRUE)</f>
        <v>1.0668E-2</v>
      </c>
      <c r="F45" s="12" t="s">
        <v>126</v>
      </c>
      <c r="G45" s="10">
        <v>1291</v>
      </c>
      <c r="H45" s="10">
        <v>408</v>
      </c>
      <c r="I45" s="11">
        <v>10</v>
      </c>
      <c r="J45" s="11">
        <v>1.5</v>
      </c>
      <c r="K45" s="13" cm="1">
        <f t="array" ref="K45">_FV(B45,"Price")</f>
        <v>1369</v>
      </c>
      <c r="L45" t="s">
        <v>192</v>
      </c>
      <c r="M45">
        <v>20</v>
      </c>
      <c r="N45" s="7">
        <f>M45*K45</f>
        <v>27380</v>
      </c>
    </row>
    <row r="46" spans="1:14" hidden="1" x14ac:dyDescent="0.35">
      <c r="A46">
        <v>48</v>
      </c>
      <c r="B46" t="e" vm="30">
        <v>#VALUE!</v>
      </c>
      <c r="C46" s="8" t="str" cm="1">
        <f t="array" ref="C46">_FV(B46,"Industry")</f>
        <v>Pharmaceuticals</v>
      </c>
      <c r="D46" s="9" cm="1">
        <f t="array" ref="D46">_FV(B46,"P/E",TRUE)</f>
        <v>35.56</v>
      </c>
      <c r="E46" s="8" cm="1">
        <f t="array" ref="E46">_FV(B46,"Change (%)",TRUE)</f>
        <v>2.8699999999999997E-3</v>
      </c>
      <c r="F46" s="12" t="s">
        <v>150</v>
      </c>
      <c r="G46" s="10">
        <v>587</v>
      </c>
      <c r="H46" s="10">
        <v>57</v>
      </c>
      <c r="I46" s="11">
        <v>2</v>
      </c>
      <c r="J46" s="11">
        <v>0.34</v>
      </c>
      <c r="K46" s="22" cm="1">
        <f t="array" ref="K46">_FV(B46,"Price")</f>
        <v>594.04999999999995</v>
      </c>
    </row>
    <row r="47" spans="1:14" hidden="1" x14ac:dyDescent="0.35">
      <c r="A47">
        <v>49</v>
      </c>
      <c r="B47" t="e" vm="170">
        <v>#VALUE!</v>
      </c>
      <c r="C47" s="8" t="str" cm="1">
        <f t="array" ref="C47">_FV(B47,"Industry")</f>
        <v>Telecommunications Services</v>
      </c>
      <c r="D47" s="9" cm="1">
        <f t="array" ref="D47">_FV(B47,"P/E",TRUE)</f>
        <v>0</v>
      </c>
      <c r="E47" s="8" cm="1">
        <f t="array" ref="E47">_FV(B47,"Change (%)",TRUE)</f>
        <v>-3.0303E-2</v>
      </c>
      <c r="F47" s="12">
        <v>0</v>
      </c>
      <c r="G47" s="10">
        <v>1.7</v>
      </c>
      <c r="H47" s="10">
        <v>0</v>
      </c>
      <c r="I47" s="11">
        <v>10</v>
      </c>
      <c r="J47" s="11">
        <v>0</v>
      </c>
      <c r="K47" s="22" cm="1">
        <f t="array" ref="K47">_FV(B47,"Price")</f>
        <v>1.6</v>
      </c>
      <c r="L47">
        <v>1.78</v>
      </c>
      <c r="M47">
        <v>19250</v>
      </c>
    </row>
    <row r="48" spans="1:14" hidden="1" x14ac:dyDescent="0.35">
      <c r="A48">
        <v>50</v>
      </c>
      <c r="B48" t="e" vm="42">
        <v>#VALUE!</v>
      </c>
      <c r="C48" s="8" t="str" cm="1">
        <f t="array" ref="C48">_FV(B48,"Industry")</f>
        <v>Electrical Utilities &amp; IPPs</v>
      </c>
      <c r="D48" s="9" cm="1">
        <f t="array" ref="D48">_FV(B48,"P/E",TRUE)</f>
        <v>20.85</v>
      </c>
      <c r="E48" s="8" cm="1">
        <f t="array" ref="E48">_FV(B48,"Change (%)",TRUE)</f>
        <v>-7.143E-3</v>
      </c>
      <c r="F48" s="12" t="s">
        <v>114</v>
      </c>
      <c r="G48" s="10">
        <v>7.5</v>
      </c>
      <c r="H48" s="10">
        <v>15</v>
      </c>
      <c r="I48" s="11">
        <v>10</v>
      </c>
      <c r="J48" s="11">
        <v>0</v>
      </c>
      <c r="K48" s="22" cm="1">
        <f t="array" ref="K48">_FV(B48,"Price")</f>
        <v>6.95</v>
      </c>
      <c r="L48">
        <v>7.4</v>
      </c>
      <c r="M48">
        <v>400</v>
      </c>
    </row>
    <row r="49" spans="1:14" hidden="1" x14ac:dyDescent="0.35">
      <c r="A49">
        <v>51</v>
      </c>
      <c r="B49" t="e" vm="171">
        <v>#VALUE!</v>
      </c>
      <c r="C49" s="8" t="str" cm="1">
        <f t="array" ref="C49">_FV(B49,"Industry")</f>
        <v>Renewable Energy</v>
      </c>
      <c r="D49" s="9" cm="1">
        <f t="array" ref="D49">_FV(B49,"P/E",TRUE)</f>
        <v>0</v>
      </c>
      <c r="E49" s="8" cm="1">
        <f t="array" ref="E49">_FV(B49,"Change (%)",TRUE)</f>
        <v>-1.0417000000000001E-2</v>
      </c>
      <c r="F49" s="12" t="s">
        <v>160</v>
      </c>
      <c r="G49" s="10">
        <v>12</v>
      </c>
      <c r="H49" s="10">
        <v>0</v>
      </c>
      <c r="I49" s="11">
        <v>2</v>
      </c>
      <c r="J49" s="11">
        <v>0</v>
      </c>
      <c r="K49" s="22" cm="1">
        <f t="array" ref="K49">_FV(B49,"Price")</f>
        <v>9.5</v>
      </c>
    </row>
    <row r="50" spans="1:14" hidden="1" x14ac:dyDescent="0.35">
      <c r="A50">
        <v>52</v>
      </c>
      <c r="B50" t="e" vm="103">
        <v>#VALUE!</v>
      </c>
      <c r="C50" s="8" t="str" cm="1">
        <f t="array" ref="C50">_FV(B50,"Industry")</f>
        <v>Automobiles &amp; Auto Parts</v>
      </c>
      <c r="D50" s="9" cm="1">
        <f t="array" ref="D50">_FV(B50,"P/E",TRUE)</f>
        <v>0</v>
      </c>
      <c r="E50" s="8" cm="1">
        <f t="array" ref="E50">_FV(B50,"Change (%)",TRUE)</f>
        <v>2.8975000000000001E-2</v>
      </c>
      <c r="F50" s="12" t="s">
        <v>181</v>
      </c>
      <c r="G50" s="10">
        <v>458</v>
      </c>
      <c r="H50" s="10">
        <v>135</v>
      </c>
      <c r="I50" s="11">
        <v>2</v>
      </c>
      <c r="J50" s="11">
        <v>0</v>
      </c>
      <c r="K50" s="22" cm="1">
        <f t="array" ref="K50">_FV(B50,"Price")</f>
        <v>440.35</v>
      </c>
    </row>
    <row r="51" spans="1:14" hidden="1" x14ac:dyDescent="0.35">
      <c r="A51">
        <v>53</v>
      </c>
      <c r="B51" t="e" vm="172">
        <v>#VALUE!</v>
      </c>
      <c r="C51" s="8" t="str" cm="1">
        <f t="array" ref="C51">_FV(B51,"Industry")</f>
        <v>Banking Services</v>
      </c>
      <c r="D51" s="9" cm="1">
        <f t="array" ref="D51">_FV(B51,"P/E",TRUE)</f>
        <v>0</v>
      </c>
      <c r="E51" s="8" cm="1">
        <f t="array" ref="E51">_FV(B51,"Change (%)",TRUE)</f>
        <v>-4.9259999999999998E-3</v>
      </c>
      <c r="F51" s="12" t="s">
        <v>137</v>
      </c>
      <c r="G51" s="10">
        <v>108</v>
      </c>
      <c r="H51" s="10">
        <v>150</v>
      </c>
      <c r="I51" s="11">
        <v>10</v>
      </c>
      <c r="J51" s="11">
        <v>0</v>
      </c>
      <c r="K51" s="7" cm="1">
        <f t="array" ref="K51">_FV(B51,"Price")</f>
        <v>111.1</v>
      </c>
    </row>
    <row r="52" spans="1:14" hidden="1" x14ac:dyDescent="0.35">
      <c r="A52">
        <v>54</v>
      </c>
      <c r="B52" t="e" vm="173">
        <v>#VALUE!</v>
      </c>
      <c r="C52" s="8" t="str" cm="1">
        <f t="array" ref="C52">_FV(B52,"Industry")</f>
        <v>Investment Banking &amp; Investment Services</v>
      </c>
      <c r="D52" s="9" cm="1">
        <f t="array" ref="D52">_FV(B52,"P/E",TRUE)</f>
        <v>22</v>
      </c>
      <c r="E52" s="8" cm="1">
        <f t="array" ref="E52">_FV(B52,"Change (%)",TRUE)</f>
        <v>1.9289999999999999E-3</v>
      </c>
      <c r="F52" s="12" t="s">
        <v>128</v>
      </c>
      <c r="G52" s="10">
        <v>1004</v>
      </c>
      <c r="H52" s="10">
        <v>108</v>
      </c>
      <c r="I52" s="11">
        <v>10</v>
      </c>
      <c r="J52" s="11">
        <v>0.36</v>
      </c>
      <c r="K52" s="13" cm="1">
        <f t="array" ref="K52">_FV(B52,"Price")</f>
        <v>1116.8499999999999</v>
      </c>
      <c r="L52" t="s">
        <v>192</v>
      </c>
      <c r="M52">
        <v>10</v>
      </c>
      <c r="N52" s="7">
        <f>M52*K52</f>
        <v>11168.5</v>
      </c>
    </row>
    <row r="53" spans="1:14" hidden="1" x14ac:dyDescent="0.35">
      <c r="A53">
        <v>55</v>
      </c>
      <c r="B53" t="e" vm="174">
        <v>#VALUE!</v>
      </c>
      <c r="C53" s="8" t="str" cm="1">
        <f t="array" ref="C53">_FV(B53,"Industry")</f>
        <v>Software &amp; IT Services</v>
      </c>
      <c r="D53" s="9" cm="1">
        <f t="array" ref="D53">_FV(B53,"P/E",TRUE)</f>
        <v>11.86</v>
      </c>
      <c r="E53" s="8" cm="1">
        <f t="array" ref="E53">_FV(B53,"Change (%)",TRUE)</f>
        <v>6.1590000000000004E-3</v>
      </c>
      <c r="F53" s="12" t="s">
        <v>158</v>
      </c>
      <c r="G53" s="10">
        <v>80</v>
      </c>
      <c r="H53" s="10">
        <v>47</v>
      </c>
      <c r="I53" s="11">
        <v>5</v>
      </c>
      <c r="J53" s="11">
        <v>0.28000000000000003</v>
      </c>
      <c r="K53" s="7" cm="1">
        <f t="array" ref="K53">_FV(B53,"Price")</f>
        <v>89.85</v>
      </c>
    </row>
    <row r="54" spans="1:14" hidden="1" x14ac:dyDescent="0.35">
      <c r="A54">
        <v>56</v>
      </c>
      <c r="B54" t="e" vm="175">
        <v>#VALUE!</v>
      </c>
      <c r="C54" s="8" t="str" cm="1">
        <f t="array" ref="C54">_FV(B54,"Industry")</f>
        <v>Banking Services</v>
      </c>
      <c r="D54" s="9" cm="1">
        <f t="array" ref="D54">_FV(B54,"P/E",TRUE)</f>
        <v>0</v>
      </c>
      <c r="E54" s="8" cm="1">
        <f t="array" ref="E54">_FV(B54,"Change (%)",TRUE)</f>
        <v>1.7763000000000001E-2</v>
      </c>
      <c r="F54" s="12" t="s">
        <v>180</v>
      </c>
      <c r="G54" s="10">
        <v>255</v>
      </c>
      <c r="H54" s="10">
        <v>76</v>
      </c>
      <c r="I54" s="11">
        <v>2</v>
      </c>
      <c r="J54" s="11">
        <v>0</v>
      </c>
      <c r="K54" s="22" cm="1">
        <f t="array" ref="K54">_FV(B54,"Price")</f>
        <v>260.7</v>
      </c>
    </row>
    <row r="55" spans="1:14" hidden="1" x14ac:dyDescent="0.35">
      <c r="A55">
        <v>57</v>
      </c>
      <c r="B55" t="e" vm="39">
        <v>#VALUE!</v>
      </c>
      <c r="C55" s="8" t="str" cm="1">
        <f t="array" ref="C55">_FV(B55,"Industry")</f>
        <v>Software &amp; IT Services</v>
      </c>
      <c r="D55" s="9" cm="1">
        <f t="array" ref="D55">_FV(B55,"P/E",TRUE)</f>
        <v>36.380000000000003</v>
      </c>
      <c r="E55" s="8" cm="1">
        <f t="array" ref="E55">_FV(B55,"Change (%)",TRUE)</f>
        <v>1.8536999999999998E-2</v>
      </c>
      <c r="F55" s="12" t="s">
        <v>153</v>
      </c>
      <c r="G55" s="10">
        <v>1368</v>
      </c>
      <c r="H55" s="10">
        <v>165</v>
      </c>
      <c r="I55" s="11">
        <v>5</v>
      </c>
      <c r="J55" s="11">
        <v>1.46</v>
      </c>
      <c r="K55" s="13" cm="1">
        <f t="array" ref="K55">_FV(B55,"Price")</f>
        <v>1887.4</v>
      </c>
    </row>
    <row r="56" spans="1:14" hidden="1" x14ac:dyDescent="0.35">
      <c r="A56">
        <v>58</v>
      </c>
      <c r="B56" t="e" vm="176">
        <v>#VALUE!</v>
      </c>
      <c r="C56" s="8" t="str" cm="1">
        <f t="array" ref="C56">_FV(B56,"Industry")</f>
        <v>Banking Services</v>
      </c>
      <c r="D56" s="9" cm="1">
        <f t="array" ref="D56">_FV(B56,"P/E",TRUE)</f>
        <v>4.41</v>
      </c>
      <c r="E56" s="8" cm="1">
        <f t="array" ref="E56">_FV(B56,"Change (%)",TRUE)</f>
        <v>-8.6059999999999999E-4</v>
      </c>
      <c r="F56" s="12" t="s">
        <v>135</v>
      </c>
      <c r="G56" s="10">
        <v>60</v>
      </c>
      <c r="H56" s="10">
        <v>213</v>
      </c>
      <c r="I56" s="11">
        <v>10</v>
      </c>
      <c r="J56" s="11">
        <v>3.1</v>
      </c>
      <c r="K56" s="22" cm="1">
        <f t="array" ref="K56">_FV(B56,"Price")</f>
        <v>58.05</v>
      </c>
    </row>
    <row r="57" spans="1:14" hidden="1" x14ac:dyDescent="0.35">
      <c r="A57">
        <v>59</v>
      </c>
      <c r="B57" t="e" vm="33">
        <v>#VALUE!</v>
      </c>
      <c r="C57" s="8" t="str" cm="1">
        <f t="array" ref="C57">_FV(B57,"Industry")</f>
        <v>Chemicals</v>
      </c>
      <c r="D57" s="9" cm="1">
        <f t="array" ref="D57">_FV(B57,"P/E",TRUE)</f>
        <v>68.209999999999994</v>
      </c>
      <c r="E57" s="8" cm="1">
        <f t="array" ref="E57">_FV(B57,"Change (%)",TRUE)</f>
        <v>6.5630000000000003E-3</v>
      </c>
      <c r="F57" s="12" t="s">
        <v>124</v>
      </c>
      <c r="G57" s="10">
        <v>2800</v>
      </c>
      <c r="H57" s="10">
        <v>175</v>
      </c>
      <c r="I57" s="11">
        <v>2</v>
      </c>
      <c r="J57" s="11">
        <v>0.34</v>
      </c>
      <c r="K57" s="7" cm="1">
        <f t="array" ref="K57">_FV(B57,"Price")</f>
        <v>2898.75</v>
      </c>
    </row>
    <row r="58" spans="1:14" hidden="1" x14ac:dyDescent="0.35">
      <c r="A58">
        <v>60</v>
      </c>
      <c r="B58" t="e" vm="85">
        <v>#VALUE!</v>
      </c>
      <c r="C58" s="8" t="str" cm="1">
        <f t="array" ref="C58">_FV(B58,"Industry")</f>
        <v>Chemicals</v>
      </c>
      <c r="D58" s="9" cm="1">
        <f t="array" ref="D58">_FV(B58,"P/E",TRUE)</f>
        <v>30.56</v>
      </c>
      <c r="E58" s="8" cm="1">
        <f t="array" ref="E58">_FV(B58,"Change (%)",TRUE)</f>
        <v>1.6449000000000002E-2</v>
      </c>
      <c r="F58" s="12" t="s">
        <v>148</v>
      </c>
      <c r="G58" s="10">
        <v>781</v>
      </c>
      <c r="H58" s="10">
        <v>642</v>
      </c>
      <c r="I58" s="11">
        <v>10</v>
      </c>
      <c r="J58" s="11">
        <v>1.06</v>
      </c>
      <c r="K58" s="13" cm="1">
        <f t="array" ref="K58">_FV(B58,"Price")</f>
        <v>954.7</v>
      </c>
    </row>
    <row r="59" spans="1:14" hidden="1" x14ac:dyDescent="0.35">
      <c r="A59">
        <v>61</v>
      </c>
      <c r="B59" t="e" vm="124">
        <v>#VALUE!</v>
      </c>
      <c r="C59" s="8" t="str" cm="1">
        <f t="array" ref="C59">_FV(B59,"Industry")</f>
        <v>Construction &amp; Engineering</v>
      </c>
      <c r="D59" s="9" cm="1">
        <f t="array" ref="D59">_FV(B59,"P/E",TRUE)</f>
        <v>6.67</v>
      </c>
      <c r="E59" s="8" cm="1">
        <f t="array" ref="E59">_FV(B59,"Change (%)",TRUE)</f>
        <v>0</v>
      </c>
      <c r="F59" s="12" t="s">
        <v>170</v>
      </c>
      <c r="G59" s="10">
        <v>29</v>
      </c>
      <c r="H59" s="10">
        <v>29</v>
      </c>
      <c r="I59" s="11">
        <v>10</v>
      </c>
      <c r="J59" s="11">
        <v>4.41</v>
      </c>
      <c r="K59" s="7" cm="1">
        <f t="array" ref="K59">_FV(B59,"Price")</f>
        <v>35.799999999999997</v>
      </c>
    </row>
    <row r="60" spans="1:14" hidden="1" x14ac:dyDescent="0.35">
      <c r="A60">
        <v>62</v>
      </c>
      <c r="B60" t="e" vm="75">
        <v>#VALUE!</v>
      </c>
      <c r="C60" s="8" t="str" cm="1">
        <f t="array" ref="C60">_FV(B60,"Industry")</f>
        <v>Pharmaceuticals</v>
      </c>
      <c r="D60" s="9" cm="1">
        <f t="array" ref="D60">_FV(B60,"P/E",TRUE)</f>
        <v>25.14</v>
      </c>
      <c r="E60" s="8" cm="1">
        <f t="array" ref="E60">_FV(B60,"Change (%)",TRUE)</f>
        <v>6.3419999999999995E-3</v>
      </c>
      <c r="F60" s="12" t="s">
        <v>138</v>
      </c>
      <c r="G60" s="10">
        <v>3452</v>
      </c>
      <c r="H60" s="10">
        <v>1114</v>
      </c>
      <c r="I60" s="11">
        <v>5</v>
      </c>
      <c r="J60" s="11">
        <v>0.62</v>
      </c>
      <c r="K60" s="7" cm="1">
        <f t="array" ref="K60">_FV(B60,"Price")</f>
        <v>4030.35</v>
      </c>
    </row>
    <row r="61" spans="1:14" hidden="1" x14ac:dyDescent="0.35">
      <c r="A61">
        <v>63</v>
      </c>
      <c r="B61" t="e" vm="143">
        <v>#VALUE!</v>
      </c>
      <c r="C61" s="8" t="str" cm="1">
        <f t="array" ref="C61">_FV(B61,"Industry")</f>
        <v>Aerospace &amp; Defense</v>
      </c>
      <c r="D61" s="9" cm="1">
        <f t="array" ref="D61">_FV(B61,"P/E",TRUE)</f>
        <v>63.22</v>
      </c>
      <c r="E61" s="8" cm="1">
        <f t="array" ref="E61">_FV(B61,"Change (%)",TRUE)</f>
        <v>-1.7648999999999998E-2</v>
      </c>
      <c r="F61" s="12" t="s">
        <v>109</v>
      </c>
      <c r="G61" s="10">
        <v>605</v>
      </c>
      <c r="H61" s="10">
        <v>40</v>
      </c>
      <c r="I61" s="11">
        <v>2</v>
      </c>
      <c r="J61" s="11">
        <v>0</v>
      </c>
      <c r="K61" s="7" cm="1">
        <f t="array" ref="K61">_FV(B61,"Price")</f>
        <v>665.15</v>
      </c>
      <c r="L61" s="20">
        <v>735</v>
      </c>
      <c r="M61">
        <v>40</v>
      </c>
      <c r="N61" s="7"/>
    </row>
    <row r="62" spans="1:14" hidden="1" x14ac:dyDescent="0.35">
      <c r="A62">
        <v>64</v>
      </c>
      <c r="B62" t="e" vm="177">
        <v>#VALUE!</v>
      </c>
      <c r="C62" s="8" t="str" cm="1">
        <f t="array" ref="C62">_FV(B62,"Industry")</f>
        <v>Chemicals</v>
      </c>
      <c r="D62" s="9" cm="1">
        <f t="array" ref="D62">_FV(B62,"P/E",TRUE)</f>
        <v>28.41</v>
      </c>
      <c r="E62" s="8" cm="1">
        <f t="array" ref="E62">_FV(B62,"Change (%)",TRUE)</f>
        <v>-6.3219999999999995E-3</v>
      </c>
      <c r="F62" s="12" t="s">
        <v>130</v>
      </c>
      <c r="G62" s="10">
        <v>1800</v>
      </c>
      <c r="H62" s="10">
        <v>207</v>
      </c>
      <c r="I62" s="11">
        <v>2</v>
      </c>
      <c r="J62" s="11">
        <v>0.2</v>
      </c>
      <c r="K62" s="7" cm="1">
        <f t="array" ref="K62">_FV(B62,"Price")</f>
        <v>2255.4499999999998</v>
      </c>
    </row>
    <row r="63" spans="1:14" hidden="1" x14ac:dyDescent="0.35">
      <c r="A63">
        <v>65</v>
      </c>
      <c r="B63" t="e" vm="141">
        <v>#VALUE!</v>
      </c>
      <c r="C63" s="8" t="str" cm="1">
        <f t="array" ref="C63">_FV(B63,"Industry")</f>
        <v>Banking Services</v>
      </c>
      <c r="D63" s="9" cm="1">
        <f t="array" ref="D63">_FV(B63,"P/E",TRUE)</f>
        <v>0</v>
      </c>
      <c r="E63" s="8" cm="1">
        <f t="array" ref="E63">_FV(B63,"Change (%)",TRUE)</f>
        <v>-4.1149999999999997E-3</v>
      </c>
      <c r="F63" s="12" t="s">
        <v>173</v>
      </c>
      <c r="G63" s="10">
        <v>13</v>
      </c>
      <c r="H63" s="10">
        <v>12</v>
      </c>
      <c r="I63" s="11">
        <v>10</v>
      </c>
      <c r="J63" s="11">
        <v>0</v>
      </c>
      <c r="K63" s="22" cm="1">
        <f t="array" ref="K63">_FV(B63,"Price")</f>
        <v>12.1</v>
      </c>
    </row>
    <row r="64" spans="1:14" hidden="1" x14ac:dyDescent="0.35">
      <c r="A64">
        <v>66</v>
      </c>
      <c r="B64" t="e" vm="178">
        <v>#VALUE!</v>
      </c>
      <c r="C64" s="8" t="str" cm="1">
        <f t="array" ref="C64">_FV(B64,"Industry")</f>
        <v>Electrical Utilities &amp; IPPs</v>
      </c>
      <c r="D64" s="9" cm="1">
        <f t="array" ref="D64">_FV(B64,"P/E",TRUE)</f>
        <v>17.309999999999999</v>
      </c>
      <c r="E64" s="8" cm="1">
        <f t="array" ref="E64">_FV(B64,"Change (%)",TRUE)</f>
        <v>6.6359999999999995E-3</v>
      </c>
      <c r="F64" s="12" t="s">
        <v>119</v>
      </c>
      <c r="G64" s="10">
        <v>494</v>
      </c>
      <c r="H64" s="10">
        <v>218</v>
      </c>
      <c r="I64" s="11">
        <v>10</v>
      </c>
      <c r="J64" s="11">
        <v>2.27</v>
      </c>
      <c r="K64" s="22" cm="1">
        <f t="array" ref="K64">_FV(B64,"Price")</f>
        <v>485.4</v>
      </c>
      <c r="L64">
        <v>509</v>
      </c>
      <c r="M64">
        <v>30</v>
      </c>
    </row>
    <row r="65" spans="1:11" hidden="1" x14ac:dyDescent="0.35">
      <c r="A65">
        <v>67</v>
      </c>
      <c r="B65" t="e" vm="179">
        <v>#VALUE!</v>
      </c>
      <c r="C65" s="8" t="str" cm="1">
        <f t="array" ref="C65">_FV(B65,"Industry")</f>
        <v>Chemicals</v>
      </c>
      <c r="D65" s="9" cm="1">
        <f t="array" ref="D65">_FV(B65,"P/E",TRUE)</f>
        <v>36.54</v>
      </c>
      <c r="E65" s="8" cm="1">
        <f t="array" ref="E65">_FV(B65,"Change (%)",TRUE)</f>
        <v>-4.2500000000000003E-3</v>
      </c>
      <c r="F65" s="12" t="s">
        <v>122</v>
      </c>
      <c r="G65" s="10">
        <v>126</v>
      </c>
      <c r="H65" s="10">
        <v>20</v>
      </c>
      <c r="I65" s="11">
        <v>2</v>
      </c>
      <c r="J65" s="11">
        <v>0.18</v>
      </c>
      <c r="K65" s="7" cm="1">
        <f t="array" ref="K65">_FV(B65,"Price")</f>
        <v>164</v>
      </c>
    </row>
    <row r="66" spans="1:11" hidden="1" x14ac:dyDescent="0.35">
      <c r="A66">
        <v>68</v>
      </c>
      <c r="B66" t="e" vm="44">
        <v>#VALUE!</v>
      </c>
      <c r="C66" s="8" t="str" cm="1">
        <f t="array" ref="C66">_FV(B66,"Industry")</f>
        <v>Software &amp; IT Services</v>
      </c>
      <c r="D66" s="9" cm="1">
        <f t="array" ref="D66">_FV(B66,"P/E",TRUE)</f>
        <v>0</v>
      </c>
      <c r="E66" s="8" cm="1">
        <f t="array" ref="E66">_FV(B66,"Change (%)",TRUE)</f>
        <v>7.149E-3</v>
      </c>
      <c r="F66" s="12" t="s">
        <v>143</v>
      </c>
      <c r="G66" s="10">
        <v>1092</v>
      </c>
      <c r="H66" s="10">
        <v>224</v>
      </c>
      <c r="I66" s="11">
        <v>2</v>
      </c>
      <c r="J66" s="11">
        <v>2.72</v>
      </c>
      <c r="K66" s="7" cm="1">
        <f t="array" ref="K66">_FV(B66,"Price")</f>
        <v>1176.4000000000001</v>
      </c>
    </row>
    <row r="67" spans="1:11" hidden="1" x14ac:dyDescent="0.35">
      <c r="A67">
        <v>69</v>
      </c>
      <c r="B67" t="e" vm="180">
        <v>#VALUE!</v>
      </c>
      <c r="C67" s="8" t="str" cm="1">
        <f t="array" ref="C67">_FV(B67,"Industry")</f>
        <v>Chemicals</v>
      </c>
      <c r="D67" s="9" cm="1">
        <f t="array" ref="D67">_FV(B67,"P/E",TRUE)</f>
        <v>13.55</v>
      </c>
      <c r="E67" s="8" cm="1">
        <f t="array" ref="E67">_FV(B67,"Change (%)",TRUE)</f>
        <v>-1.9422999999999999E-2</v>
      </c>
      <c r="F67" s="12" t="s">
        <v>197</v>
      </c>
      <c r="G67" s="10">
        <v>563</v>
      </c>
      <c r="H67" s="10">
        <v>155</v>
      </c>
      <c r="I67" s="11">
        <v>10</v>
      </c>
      <c r="J67" s="11">
        <v>0.11</v>
      </c>
      <c r="K67" s="7" cm="1">
        <f t="array" ref="K67">_FV(B67,"Price")</f>
        <v>643.70000000000005</v>
      </c>
    </row>
    <row r="68" spans="1:11" hidden="1" x14ac:dyDescent="0.35">
      <c r="A68">
        <v>70</v>
      </c>
      <c r="B68" t="e" vm="181">
        <v>#VALUE!</v>
      </c>
      <c r="C68" s="8" t="str" cm="1">
        <f t="array" ref="C68">_FV(B68,"Industry")</f>
        <v>Software &amp; IT Services</v>
      </c>
      <c r="D68" s="9" cm="1">
        <f t="array" ref="D68">_FV(B68,"P/E",TRUE)</f>
        <v>43.76</v>
      </c>
      <c r="E68" s="8" cm="1">
        <f t="array" ref="E68">_FV(B68,"Change (%)",TRUE)</f>
        <v>1.4700999999999999E-2</v>
      </c>
      <c r="F68" s="12" t="s">
        <v>168</v>
      </c>
      <c r="G68" s="10">
        <v>3409</v>
      </c>
      <c r="H68" s="10">
        <v>304</v>
      </c>
      <c r="I68" s="11">
        <v>10</v>
      </c>
      <c r="J68" s="11">
        <v>0.62</v>
      </c>
      <c r="K68" s="7" cm="1">
        <f t="array" ref="K68">_FV(B68,"Price")</f>
        <v>4034.4</v>
      </c>
    </row>
    <row r="69" spans="1:11" hidden="1" x14ac:dyDescent="0.35">
      <c r="A69">
        <v>71</v>
      </c>
      <c r="B69" t="e" vm="82">
        <v>#VALUE!</v>
      </c>
      <c r="C69" s="8" t="str" cm="1">
        <f t="array" ref="C69">_FV(B69,"Industry")</f>
        <v>Oil &amp; Gas</v>
      </c>
      <c r="D69" s="9" cm="1">
        <f t="array" ref="D69">_FV(B69,"P/E",TRUE)</f>
        <v>28.09</v>
      </c>
      <c r="E69" s="8" cm="1">
        <f t="array" ref="E69">_FV(B69,"Change (%)",TRUE)</f>
        <v>2.5836999999999999E-2</v>
      </c>
      <c r="F69" s="12" t="s">
        <v>106</v>
      </c>
      <c r="G69" s="10">
        <v>1800</v>
      </c>
      <c r="H69" s="10">
        <v>1097</v>
      </c>
      <c r="I69" s="11">
        <v>10</v>
      </c>
      <c r="J69" s="11">
        <v>0.28000000000000003</v>
      </c>
      <c r="K69" s="7" cm="1">
        <f t="array" ref="K69">_FV(B69,"Price")</f>
        <v>2531.15</v>
      </c>
    </row>
    <row r="70" spans="1:11" hidden="1" x14ac:dyDescent="0.35">
      <c r="A70">
        <v>72</v>
      </c>
      <c r="B70" t="e" vm="35">
        <v>#VALUE!</v>
      </c>
      <c r="C70" s="8" t="str" cm="1">
        <f t="array" ref="C70">_FV(B70,"Industry")</f>
        <v>Software &amp; IT Services</v>
      </c>
      <c r="D70" s="9" cm="1">
        <f t="array" ref="D70">_FV(B70,"P/E",TRUE)</f>
        <v>35.64</v>
      </c>
      <c r="E70" s="8" cm="1">
        <f t="array" ref="E70">_FV(B70,"Change (%)",TRUE)</f>
        <v>2.0472999999999998E-2</v>
      </c>
      <c r="F70" s="12" t="s">
        <v>162</v>
      </c>
      <c r="G70" s="10">
        <v>2830</v>
      </c>
      <c r="H70" s="10">
        <v>262</v>
      </c>
      <c r="I70" s="11">
        <v>1</v>
      </c>
      <c r="J70" s="11">
        <v>1.03</v>
      </c>
      <c r="K70" s="13" cm="1">
        <f t="array" ref="K70">_FV(B70,"Price")</f>
        <v>3700.95</v>
      </c>
    </row>
    <row r="71" spans="1:11" hidden="1" x14ac:dyDescent="0.35">
      <c r="A71">
        <v>73</v>
      </c>
      <c r="B71" t="e" vm="182">
        <v>#VALUE!</v>
      </c>
      <c r="C71" s="8" t="str" cm="1">
        <f t="array" ref="C71">_FV(B71,"Industry")</f>
        <v>Electrical Utilities &amp; IPPs</v>
      </c>
      <c r="D71" s="9" cm="1">
        <f t="array" ref="D71">_FV(B71,"P/E",TRUE)</f>
        <v>8.02</v>
      </c>
      <c r="E71" s="8" cm="1">
        <f t="array" ref="E71">_FV(B71,"Change (%)",TRUE)</f>
        <v>-3.7619999999999998E-4</v>
      </c>
      <c r="F71" s="12" t="s">
        <v>156</v>
      </c>
      <c r="G71" s="10">
        <v>136</v>
      </c>
      <c r="H71" s="10">
        <v>134</v>
      </c>
      <c r="I71" s="11">
        <v>10</v>
      </c>
      <c r="J71" s="11">
        <v>4.63</v>
      </c>
      <c r="K71" s="22" cm="1">
        <f t="array" ref="K71">_FV(B71,"Price")</f>
        <v>132.85</v>
      </c>
    </row>
    <row r="72" spans="1:11" hidden="1" x14ac:dyDescent="0.35">
      <c r="A72">
        <v>74</v>
      </c>
      <c r="B72" t="e" vm="183">
        <v>#VALUE!</v>
      </c>
      <c r="C72" s="8" t="str" cm="1">
        <f t="array" ref="C72">_FV(B72,"Industry")</f>
        <v>Electrical Utilities &amp; IPPs</v>
      </c>
      <c r="D72" s="9" cm="1">
        <f t="array" ref="D72">_FV(B72,"P/E",TRUE)</f>
        <v>9.34</v>
      </c>
      <c r="E72" s="8" cm="1">
        <f t="array" ref="E72">_FV(B72,"Change (%)",TRUE)</f>
        <v>1.8546E-2</v>
      </c>
      <c r="F72" s="12" t="s">
        <v>179</v>
      </c>
      <c r="G72" s="10">
        <v>190</v>
      </c>
      <c r="H72" s="10">
        <v>111</v>
      </c>
      <c r="I72" s="11">
        <v>10</v>
      </c>
      <c r="J72" s="11">
        <v>4.67</v>
      </c>
      <c r="K72" s="7" cm="1">
        <f t="array" ref="K72">_FV(B72,"Price")</f>
        <v>208.7</v>
      </c>
    </row>
    <row r="73" spans="1:11" hidden="1" x14ac:dyDescent="0.35">
      <c r="A73">
        <v>75</v>
      </c>
      <c r="B73" t="e" vm="184">
        <v>#VALUE!</v>
      </c>
      <c r="C73" s="8" t="str" cm="1">
        <f t="array" ref="C73">_FV(B73,"Industry")</f>
        <v>Software &amp; IT Services</v>
      </c>
      <c r="D73" s="9" cm="1">
        <f t="array" ref="D73">_FV(B73,"P/E",TRUE)</f>
        <v>29.17</v>
      </c>
      <c r="E73" s="8" cm="1">
        <f t="array" ref="E73">_FV(B73,"Change (%)",TRUE)</f>
        <v>-2.7650000000000001E-3</v>
      </c>
      <c r="F73" s="12" t="s">
        <v>129</v>
      </c>
      <c r="G73" s="10">
        <v>2480</v>
      </c>
      <c r="H73" s="10">
        <v>284</v>
      </c>
      <c r="I73" s="11">
        <v>5</v>
      </c>
      <c r="J73" s="11">
        <v>0.47</v>
      </c>
      <c r="K73" s="13" cm="1">
        <f t="array" ref="K73">_FV(B73,"Price")</f>
        <v>3029.8</v>
      </c>
    </row>
    <row r="74" spans="1:11" hidden="1" x14ac:dyDescent="0.35">
      <c r="A74">
        <v>76</v>
      </c>
      <c r="B74" t="e" vm="185">
        <v>#VALUE!</v>
      </c>
      <c r="C74" s="8" t="str" cm="1">
        <f t="array" ref="C74">_FV(B74,"Industry")</f>
        <v>Software &amp; IT Services</v>
      </c>
      <c r="D74" s="9" cm="1">
        <f t="array" ref="D74">_FV(B74,"P/E",TRUE)</f>
        <v>28.49</v>
      </c>
      <c r="E74" s="8" cm="1">
        <f t="array" ref="E74">_FV(B74,"Change (%)",TRUE)</f>
        <v>4.9915000000000001E-2</v>
      </c>
      <c r="F74" s="12" t="s">
        <v>133</v>
      </c>
      <c r="G74" s="10">
        <v>380</v>
      </c>
      <c r="H74" s="10">
        <v>83</v>
      </c>
      <c r="I74" s="11">
        <v>2</v>
      </c>
      <c r="J74" s="11">
        <v>0.75</v>
      </c>
      <c r="K74" s="7" cm="1">
        <f t="array" ref="K74">_FV(B74,"Price")</f>
        <v>465.9</v>
      </c>
    </row>
    <row r="75" spans="1:11" hidden="1" x14ac:dyDescent="0.35">
      <c r="A75">
        <v>77</v>
      </c>
      <c r="B75" t="e" vm="5">
        <v>#VALUE!</v>
      </c>
      <c r="C75" s="8" t="str" cm="1">
        <f t="array" ref="C75">_FV(B75,"Industry")</f>
        <v>Investment Banking &amp; Investment Services</v>
      </c>
      <c r="D75" s="9" cm="1">
        <f t="array" ref="D75">_FV(B75,"P/E",TRUE)</f>
        <v>54.68</v>
      </c>
      <c r="E75" s="8" cm="1">
        <f t="array" ref="E75">_FV(B75,"Change (%)",TRUE)</f>
        <v>-6.4329999999999995E-3</v>
      </c>
      <c r="F75" s="12" t="s">
        <v>157</v>
      </c>
      <c r="G75" s="10">
        <v>1158</v>
      </c>
      <c r="H75" s="10">
        <v>89</v>
      </c>
      <c r="I75" s="11">
        <v>10</v>
      </c>
      <c r="J75" s="11">
        <v>0.61</v>
      </c>
      <c r="K75" s="7" cm="1">
        <f t="array" ref="K75">_FV(B75,"Price")</f>
        <v>1482.7</v>
      </c>
    </row>
    <row r="76" spans="1:11" hidden="1" x14ac:dyDescent="0.35">
      <c r="A76">
        <v>78</v>
      </c>
      <c r="B76" t="e" vm="74">
        <v>#VALUE!</v>
      </c>
      <c r="C76" s="8" t="str" cm="1">
        <f t="array" ref="C76">_FV(B76,"Industry")</f>
        <v>Software &amp; IT Services</v>
      </c>
      <c r="D76" s="9" cm="1">
        <f t="array" ref="D76">_FV(B76,"P/E",TRUE)</f>
        <v>42.86</v>
      </c>
      <c r="E76" s="8" cm="1">
        <f t="array" ref="E76">_FV(B76,"Change (%)",TRUE)</f>
        <v>2.666E-2</v>
      </c>
      <c r="F76" s="12" t="s">
        <v>196</v>
      </c>
      <c r="G76" s="10">
        <v>2435</v>
      </c>
      <c r="H76" s="10">
        <v>259</v>
      </c>
      <c r="I76" s="11">
        <v>10</v>
      </c>
      <c r="J76" s="11">
        <v>1.22</v>
      </c>
      <c r="K76" s="13" cm="1">
        <f t="array" ref="K76">_FV(B76,"Price")</f>
        <v>3186.65</v>
      </c>
    </row>
    <row r="77" spans="1:11" hidden="1" x14ac:dyDescent="0.35">
      <c r="A77">
        <v>79</v>
      </c>
      <c r="B77" t="e" vm="79">
        <v>#VALUE!</v>
      </c>
      <c r="C77" s="8" t="str" cm="1">
        <f t="array" ref="C77">_FV(B77,"Industry")</f>
        <v>Software &amp; IT Services</v>
      </c>
      <c r="D77" s="9" cm="1">
        <f t="array" ref="D77">_FV(B77,"P/E",TRUE)</f>
        <v>53.99</v>
      </c>
      <c r="E77" s="8" cm="1">
        <f t="array" ref="E77">_FV(B77,"Change (%)",TRUE)</f>
        <v>2.5075E-2</v>
      </c>
      <c r="F77" s="12" t="s">
        <v>188</v>
      </c>
      <c r="G77" s="10">
        <v>3491</v>
      </c>
      <c r="H77" s="10">
        <v>405</v>
      </c>
      <c r="I77" s="11">
        <v>10</v>
      </c>
      <c r="J77" s="11">
        <v>0.45</v>
      </c>
      <c r="K77" s="13" cm="1">
        <f t="array" ref="K77">_FV(B77,"Price")</f>
        <v>4541.8</v>
      </c>
    </row>
    <row r="78" spans="1:11" hidden="1" x14ac:dyDescent="0.35">
      <c r="A78">
        <v>80</v>
      </c>
      <c r="B78" t="e" vm="186">
        <v>#VALUE!</v>
      </c>
      <c r="C78" s="8" t="str" cm="1">
        <f t="array" ref="C78">_FV(B78,"Industry")</f>
        <v>Freight &amp; Logistics Services</v>
      </c>
      <c r="D78" s="9" cm="1">
        <f t="array" ref="D78">_FV(B78,"P/E",TRUE)</f>
        <v>6.69</v>
      </c>
      <c r="E78" s="8" cm="1">
        <f t="array" ref="E78">_FV(B78,"Change (%)",TRUE)</f>
        <v>1.6558E-2</v>
      </c>
      <c r="F78" s="12" t="s">
        <v>172</v>
      </c>
      <c r="G78" s="10">
        <v>100</v>
      </c>
      <c r="H78" s="10">
        <v>178</v>
      </c>
      <c r="I78" s="11">
        <v>10</v>
      </c>
      <c r="J78" s="11">
        <v>0.21</v>
      </c>
      <c r="K78" s="7" cm="1">
        <f t="array" ref="K78">_FV(B78,"Price")</f>
        <v>116.65</v>
      </c>
    </row>
    <row r="79" spans="1:11" hidden="1" x14ac:dyDescent="0.35">
      <c r="A79">
        <v>81</v>
      </c>
      <c r="B79" t="e" vm="59">
        <v>#VALUE!</v>
      </c>
      <c r="C79" s="8" t="str" cm="1">
        <f t="array" ref="C79">_FV(B79,"Industry")</f>
        <v>Chemicals</v>
      </c>
      <c r="D79" s="9" cm="1">
        <f t="array" ref="D79">_FV(B79,"P/E",TRUE)</f>
        <v>19.12</v>
      </c>
      <c r="E79" s="8" cm="1">
        <f t="array" ref="E79">_FV(B79,"Change (%)",TRUE)</f>
        <v>6.509E-3</v>
      </c>
      <c r="F79" s="12" t="s">
        <v>139</v>
      </c>
      <c r="G79" s="10">
        <v>622</v>
      </c>
      <c r="H79" s="10">
        <v>273</v>
      </c>
      <c r="I79" s="11">
        <v>2</v>
      </c>
      <c r="J79" s="11">
        <v>1.28</v>
      </c>
      <c r="K79" s="7" cm="1">
        <f t="array" ref="K79">_FV(B79,"Price")</f>
        <v>780.95</v>
      </c>
    </row>
    <row r="80" spans="1:11" hidden="1" x14ac:dyDescent="0.35">
      <c r="A80">
        <v>82</v>
      </c>
      <c r="B80" t="e" vm="53">
        <v>#VALUE!</v>
      </c>
      <c r="C80" s="8" t="str" cm="1">
        <f t="array" ref="C80">_FV(B80,"Industry")</f>
        <v>Construction &amp; Engineering</v>
      </c>
      <c r="D80" s="9" cm="1">
        <f t="array" ref="D80">_FV(B80,"P/E",TRUE)</f>
        <v>22.59</v>
      </c>
      <c r="E80" s="8" cm="1">
        <f t="array" ref="E80">_FV(B80,"Change (%)",TRUE)</f>
        <v>9.495E-3</v>
      </c>
      <c r="F80" s="12" t="s">
        <v>184</v>
      </c>
      <c r="G80" s="10">
        <v>268</v>
      </c>
      <c r="H80" s="10">
        <v>76</v>
      </c>
      <c r="I80" s="11">
        <v>2</v>
      </c>
      <c r="J80" s="11">
        <v>0.09</v>
      </c>
      <c r="K80" s="7" cm="1">
        <f t="array" ref="K80">_FV(B80,"Price")</f>
        <v>281.75</v>
      </c>
    </row>
    <row r="81" spans="1:14" hidden="1" x14ac:dyDescent="0.35">
      <c r="A81">
        <v>83</v>
      </c>
      <c r="B81" t="e" vm="187">
        <v>#VALUE!</v>
      </c>
      <c r="C81" s="8" t="str" cm="1">
        <f t="array" ref="C81">_FV(B81,"Industry")</f>
        <v>Pharmaceuticals</v>
      </c>
      <c r="D81" s="9" cm="1">
        <f t="array" ref="D81">_FV(B81,"P/E",TRUE)</f>
        <v>26.32</v>
      </c>
      <c r="E81" s="8" cm="1">
        <f t="array" ref="E81">_FV(B81,"Change (%)",TRUE)</f>
        <v>-6.1419999999999999E-3</v>
      </c>
      <c r="F81" s="12" t="s">
        <v>164</v>
      </c>
      <c r="G81" s="10">
        <v>351</v>
      </c>
      <c r="H81" s="10">
        <v>82</v>
      </c>
      <c r="I81" s="11">
        <v>2</v>
      </c>
      <c r="J81" s="11">
        <v>0.49</v>
      </c>
      <c r="K81" s="7" cm="1">
        <f t="array" ref="K81">_FV(B81,"Price")</f>
        <v>404.55</v>
      </c>
    </row>
    <row r="82" spans="1:14" hidden="1" x14ac:dyDescent="0.35">
      <c r="A82">
        <v>84</v>
      </c>
      <c r="B82" t="e" vm="188">
        <v>#VALUE!</v>
      </c>
      <c r="C82" s="8" t="str" cm="1">
        <f t="array" ref="C82">_FV(B82,"Industry")</f>
        <v>Metals &amp; Mining</v>
      </c>
      <c r="D82" s="9" cm="1">
        <f t="array" ref="D82">_FV(B82,"P/E",TRUE)</f>
        <v>3.1</v>
      </c>
      <c r="E82" s="8" cm="1">
        <f t="array" ref="E82">_FV(B82,"Change (%)",TRUE)</f>
        <v>1.0059999999999999E-3</v>
      </c>
      <c r="F82" s="12" t="s">
        <v>171</v>
      </c>
      <c r="G82" s="10">
        <v>107</v>
      </c>
      <c r="H82" s="10">
        <v>128</v>
      </c>
      <c r="I82" s="11">
        <v>10</v>
      </c>
      <c r="J82" s="11">
        <v>6.53</v>
      </c>
      <c r="K82" s="7" cm="1">
        <f t="array" ref="K82">_FV(B82,"Price")</f>
        <v>99.5</v>
      </c>
    </row>
    <row r="83" spans="1:14" hidden="1" x14ac:dyDescent="0.35">
      <c r="A83">
        <v>85</v>
      </c>
      <c r="B83" t="e" vm="123">
        <v>#VALUE!</v>
      </c>
      <c r="C83" s="8" t="str" cm="1">
        <f t="array" ref="C83">_FV(B83,"Industry")</f>
        <v>Oil &amp; Gas</v>
      </c>
      <c r="D83" s="9" cm="1">
        <f t="array" ref="D83">_FV(B83,"P/E",TRUE)</f>
        <v>3.83</v>
      </c>
      <c r="E83" s="8" cm="1">
        <f t="array" ref="E83">_FV(B83,"Change (%)",TRUE)</f>
        <v>3.1355000000000001E-2</v>
      </c>
      <c r="F83" s="12" t="s">
        <v>155</v>
      </c>
      <c r="G83" s="10">
        <v>331</v>
      </c>
      <c r="H83" s="10">
        <v>223</v>
      </c>
      <c r="I83" s="11">
        <v>10</v>
      </c>
      <c r="J83" s="11">
        <v>11.9</v>
      </c>
      <c r="K83" s="7" cm="1">
        <f t="array" ref="K83">_FV(B83,"Price")</f>
        <v>368.4</v>
      </c>
    </row>
    <row r="84" spans="1:14" hidden="1" x14ac:dyDescent="0.35">
      <c r="A84">
        <v>86</v>
      </c>
      <c r="B84" t="e" vm="189">
        <v>#VALUE!</v>
      </c>
      <c r="C84" s="8" t="str" cm="1">
        <f t="array" ref="C84">_FV(B84,"Industry")</f>
        <v>Metals &amp; Mining</v>
      </c>
      <c r="D84" s="9" cm="1">
        <f t="array" ref="D84">_FV(B84,"P/E",TRUE)</f>
        <v>7.92</v>
      </c>
      <c r="E84" s="8" cm="1">
        <f t="array" ref="E84">_FV(B84,"Change (%)",TRUE)</f>
        <v>-4.8859999999999997E-3</v>
      </c>
      <c r="F84" s="12" t="s">
        <v>141</v>
      </c>
      <c r="G84" s="10">
        <v>110</v>
      </c>
      <c r="H84" s="10">
        <v>63</v>
      </c>
      <c r="I84" s="11">
        <v>5</v>
      </c>
      <c r="J84" s="11">
        <v>4.09</v>
      </c>
      <c r="K84" s="7" cm="1">
        <f t="array" ref="K84">_FV(B84,"Price")</f>
        <v>122.2</v>
      </c>
    </row>
    <row r="85" spans="1:14" x14ac:dyDescent="0.35">
      <c r="A85">
        <v>87</v>
      </c>
      <c r="B85" t="e" vm="190">
        <v>#VALUE!</v>
      </c>
      <c r="C85" s="8"/>
      <c r="D85" s="9" cm="1">
        <f t="array" ref="D85">_FV(B85,"P/E",TRUE)</f>
        <v>17.579999999999998</v>
      </c>
      <c r="E85" s="8" cm="1">
        <f t="array" ref="E85">_FV(B85,"Change (%)",TRUE)</f>
        <v>2.2149999999999999E-4</v>
      </c>
      <c r="F85" s="12" t="s">
        <v>199</v>
      </c>
      <c r="G85" s="10">
        <v>171</v>
      </c>
      <c r="H85" s="10">
        <v>51</v>
      </c>
      <c r="I85" s="11">
        <v>10</v>
      </c>
      <c r="J85" s="11">
        <v>0.22</v>
      </c>
      <c r="K85" s="13" cm="1">
        <f t="array" ref="K85">_FV(B85,"Price")</f>
        <v>225.8</v>
      </c>
      <c r="L85" t="s">
        <v>192</v>
      </c>
      <c r="M85">
        <v>50</v>
      </c>
      <c r="N85" s="7">
        <f>M85*K85</f>
        <v>11290</v>
      </c>
    </row>
    <row r="86" spans="1:14" hidden="1" x14ac:dyDescent="0.35">
      <c r="A86">
        <v>88</v>
      </c>
      <c r="B86" t="e" vm="109">
        <v>#VALUE!</v>
      </c>
      <c r="C86" s="8" t="str" cm="1">
        <f t="array" ref="C86">_FV(B86,"Industry")</f>
        <v>Oil &amp; Gas</v>
      </c>
      <c r="D86" s="9" cm="1">
        <f t="array" ref="D86">_FV(B86,"P/E",TRUE)</f>
        <v>3.97</v>
      </c>
      <c r="E86" s="8" cm="1">
        <f t="array" ref="E86">_FV(B86,"Change (%)",TRUE)</f>
        <v>2.2457999999999999E-2</v>
      </c>
      <c r="F86" s="12" t="s">
        <v>113</v>
      </c>
      <c r="G86" s="10">
        <v>110</v>
      </c>
      <c r="H86" s="10">
        <v>136</v>
      </c>
      <c r="I86" s="11">
        <v>10</v>
      </c>
      <c r="J86" s="11">
        <v>9.89</v>
      </c>
      <c r="K86" s="7" cm="1">
        <f t="array" ref="K86">_FV(B86,"Price")</f>
        <v>120.65</v>
      </c>
      <c r="L86">
        <v>114</v>
      </c>
      <c r="M86">
        <v>10</v>
      </c>
    </row>
    <row r="87" spans="1:14" hidden="1" x14ac:dyDescent="0.35">
      <c r="A87">
        <v>89</v>
      </c>
      <c r="B87" t="e" vm="191">
        <v>#VALUE!</v>
      </c>
      <c r="C87" s="8" t="str" cm="1">
        <f t="array" ref="C87">_FV(B87,"Industry")</f>
        <v>Metals &amp; Mining</v>
      </c>
      <c r="D87" s="9" cm="1">
        <f t="array" ref="D87">_FV(B87,"P/E",TRUE)</f>
        <v>7.65</v>
      </c>
      <c r="E87" s="8" cm="1">
        <f t="array" ref="E87">_FV(B87,"Change (%)",TRUE)</f>
        <v>9.9990000000000009E-3</v>
      </c>
      <c r="F87" s="12" t="s">
        <v>140</v>
      </c>
      <c r="G87" s="10">
        <v>322</v>
      </c>
      <c r="H87" s="10">
        <v>174</v>
      </c>
      <c r="I87" s="11">
        <v>1</v>
      </c>
      <c r="J87" s="11">
        <v>11.1</v>
      </c>
      <c r="K87" s="7" cm="1">
        <f t="array" ref="K87">_FV(B87,"Price")</f>
        <v>404.05</v>
      </c>
    </row>
    <row r="88" spans="1:14" hidden="1" x14ac:dyDescent="0.35">
      <c r="A88">
        <v>90</v>
      </c>
      <c r="B88" t="e" vm="19">
        <v>#VALUE!</v>
      </c>
      <c r="C88" s="8" t="str" cm="1">
        <f t="array" ref="C88">_FV(B88,"Industry")</f>
        <v>Telecommunications Services</v>
      </c>
      <c r="D88" s="9" cm="1">
        <f t="array" ref="D88">_FV(B88,"P/E",TRUE)</f>
        <v>0</v>
      </c>
      <c r="E88" s="8" cm="1">
        <f t="array" ref="E88">_FV(B88,"Change (%)",TRUE)</f>
        <v>4.9656000000000006E-2</v>
      </c>
      <c r="F88" s="12" t="s">
        <v>160</v>
      </c>
      <c r="G88" s="10">
        <v>131</v>
      </c>
      <c r="H88" s="10">
        <v>0</v>
      </c>
      <c r="I88" s="11">
        <v>10</v>
      </c>
      <c r="J88" s="11">
        <v>0</v>
      </c>
      <c r="K88" s="22" cm="1">
        <f t="array" ref="K88">_FV(B88,"Price")</f>
        <v>144.80000000000001</v>
      </c>
    </row>
    <row r="89" spans="1:14" hidden="1" x14ac:dyDescent="0.35">
      <c r="A89">
        <v>91</v>
      </c>
      <c r="B89" t="e" vm="5">
        <v>#VALUE!</v>
      </c>
      <c r="C89" s="8" t="str" cm="1">
        <f t="array" ref="C89">_FV(B89,"Industry")</f>
        <v>Investment Banking &amp; Investment Services</v>
      </c>
      <c r="D89" s="9" cm="1">
        <f t="array" ref="D89">_FV(B89,"P/E",TRUE)</f>
        <v>54.68</v>
      </c>
      <c r="E89" s="8" cm="1">
        <f t="array" ref="E89">_FV(B89,"Change (%)",TRUE)</f>
        <v>-6.4329999999999995E-3</v>
      </c>
      <c r="F89" s="12" t="s">
        <v>201</v>
      </c>
      <c r="G89" s="10">
        <v>1158</v>
      </c>
      <c r="H89" s="10">
        <v>89</v>
      </c>
      <c r="I89" s="11">
        <v>10</v>
      </c>
      <c r="J89" s="11">
        <v>0.61</v>
      </c>
      <c r="K89" s="7" cm="1">
        <f t="array" ref="K89">_FV(B89,"Price")</f>
        <v>1482.7</v>
      </c>
    </row>
    <row r="90" spans="1:14" hidden="1" x14ac:dyDescent="0.35">
      <c r="A90">
        <v>92</v>
      </c>
      <c r="B90" t="e" vm="9">
        <v>#VALUE!</v>
      </c>
      <c r="C90" s="8" t="str" cm="1">
        <f t="array" ref="C90">_FV(B90,"Industry")</f>
        <v>Investment Banking &amp; Investment Services</v>
      </c>
      <c r="D90" s="9" cm="1">
        <f t="array" ref="D90">_FV(B90,"P/E",TRUE)</f>
        <v>28.34</v>
      </c>
      <c r="E90" s="8" cm="1">
        <f t="array" ref="E90">_FV(B90,"Change (%)",TRUE)</f>
        <v>-5.9379999999999997E-3</v>
      </c>
      <c r="F90" s="12" t="s">
        <v>202</v>
      </c>
      <c r="G90" s="10">
        <v>296</v>
      </c>
      <c r="H90" s="10">
        <v>53</v>
      </c>
      <c r="I90" s="11">
        <v>10</v>
      </c>
      <c r="J90" s="11">
        <v>2.39</v>
      </c>
      <c r="K90" s="7" cm="1">
        <f t="array" ref="K90">_FV(B90,"Price")</f>
        <v>334.8</v>
      </c>
    </row>
    <row r="91" spans="1:14" hidden="1" x14ac:dyDescent="0.35">
      <c r="A91">
        <v>93</v>
      </c>
      <c r="B91" t="e" vm="36">
        <v>#VALUE!</v>
      </c>
      <c r="C91" s="8" t="str" cm="1">
        <f t="array" ref="C91">_FV(B91,"Industry")</f>
        <v>Metals &amp; Mining</v>
      </c>
      <c r="D91" s="9" cm="1">
        <f t="array" ref="D91">_FV(B91,"P/E",TRUE)</f>
        <v>3.74</v>
      </c>
      <c r="E91" s="8" cm="1">
        <f t="array" ref="E91">_FV(B91,"Change (%)",TRUE)</f>
        <v>6.9630000000000004E-3</v>
      </c>
      <c r="F91" s="12" t="s">
        <v>204</v>
      </c>
      <c r="G91" s="10">
        <v>625</v>
      </c>
      <c r="H91" s="10">
        <v>575</v>
      </c>
      <c r="I91" s="11">
        <v>10</v>
      </c>
      <c r="J91" s="11">
        <v>0.66</v>
      </c>
      <c r="K91" s="7" cm="1">
        <f t="array" ref="K91">_FV(B91,"Price")</f>
        <v>759.25</v>
      </c>
    </row>
    <row r="92" spans="1:14" hidden="1" x14ac:dyDescent="0.35">
      <c r="A92">
        <v>94</v>
      </c>
      <c r="B92" t="e" vm="28">
        <v>#VALUE!</v>
      </c>
      <c r="C92" s="8" t="str" cm="1">
        <f t="array" ref="C92">_FV(B92,"Industry")</f>
        <v>Pharmaceuticals</v>
      </c>
      <c r="D92" s="9" cm="1">
        <f t="array" ref="D92">_FV(B92,"P/E",TRUE)</f>
        <v>35.11</v>
      </c>
      <c r="E92" s="8" cm="1">
        <f t="array" ref="E92">_FV(B92,"Change (%)",TRUE)</f>
        <v>-1.5820000000000001E-2</v>
      </c>
      <c r="F92" s="12" t="s">
        <v>203</v>
      </c>
      <c r="G92" s="10">
        <v>4180</v>
      </c>
      <c r="H92" s="10">
        <v>564</v>
      </c>
      <c r="I92" s="11">
        <v>10</v>
      </c>
      <c r="J92" s="11">
        <v>0.68</v>
      </c>
      <c r="K92" s="7" cm="1">
        <f t="array" ref="K92">_FV(B92,"Price")</f>
        <v>4435.6499999999996</v>
      </c>
    </row>
    <row r="93" spans="1:14" hidden="1" x14ac:dyDescent="0.35">
      <c r="A93">
        <v>95</v>
      </c>
      <c r="B93" t="e" vm="38">
        <v>#VALUE!</v>
      </c>
      <c r="C93" s="8" t="str" cm="1">
        <f t="array" ref="C93">_FV(B93,"Industry")</f>
        <v>Metals &amp; Mining</v>
      </c>
      <c r="D93" s="9" cm="1">
        <f t="array" ref="D93">_FV(B93,"P/E",TRUE)</f>
        <v>3.17</v>
      </c>
      <c r="E93" s="8" cm="1">
        <f t="array" ref="E93">_FV(B93,"Change (%)",TRUE)</f>
        <v>-7.291E-4</v>
      </c>
      <c r="F93" s="12" t="s">
        <v>205</v>
      </c>
      <c r="G93" s="10">
        <v>1228</v>
      </c>
      <c r="H93" s="10">
        <v>749</v>
      </c>
      <c r="I93" s="11">
        <v>10</v>
      </c>
      <c r="J93" s="11">
        <v>1.92</v>
      </c>
      <c r="K93" s="7" cm="1">
        <f t="array" ref="K93">_FV(B93,"Price")</f>
        <v>1302</v>
      </c>
    </row>
    <row r="94" spans="1:14" hidden="1" x14ac:dyDescent="0.35">
      <c r="A94">
        <v>96</v>
      </c>
      <c r="B94" t="e" vm="46">
        <v>#VALUE!</v>
      </c>
      <c r="C94" s="8" t="str" cm="1">
        <f t="array" ref="C94">_FV(B94,"Industry")</f>
        <v>Chemicals</v>
      </c>
      <c r="D94" s="9" cm="1">
        <f t="array" ref="D94">_FV(B94,"P/E",TRUE)</f>
        <v>24.16</v>
      </c>
      <c r="E94" s="8" cm="1">
        <f t="array" ref="E94">_FV(B94,"Change (%)",TRUE)</f>
        <v>9.5949999999999994E-3</v>
      </c>
      <c r="F94" s="12" t="s">
        <v>206</v>
      </c>
      <c r="G94" s="10">
        <v>2259</v>
      </c>
      <c r="H94" s="10">
        <v>254</v>
      </c>
      <c r="I94" s="11">
        <v>10</v>
      </c>
      <c r="J94" s="11">
        <v>0.27</v>
      </c>
      <c r="K94" s="7" cm="1">
        <f t="array" ref="K94">_FV(B94,"Price")</f>
        <v>2630.45</v>
      </c>
    </row>
    <row r="95" spans="1:14" hidden="1" x14ac:dyDescent="0.35">
      <c r="A95">
        <v>97</v>
      </c>
      <c r="B95" t="e" vm="62">
        <v>#VALUE!</v>
      </c>
      <c r="C95" s="8" t="str" cm="1">
        <f t="array" ref="C95">_FV(B95,"Industry")</f>
        <v>Coal</v>
      </c>
      <c r="D95" s="9" cm="1">
        <f t="array" ref="D95">_FV(B95,"P/E",TRUE)</f>
        <v>13.62</v>
      </c>
      <c r="E95" s="8" cm="1">
        <f t="array" ref="E95">_FV(B95,"Change (%)",TRUE)</f>
        <v>5.7599999999999995E-3</v>
      </c>
      <c r="F95" s="12" t="s">
        <v>207</v>
      </c>
      <c r="G95" s="10">
        <v>149</v>
      </c>
      <c r="H95" s="10">
        <v>65</v>
      </c>
      <c r="I95" s="11">
        <v>10</v>
      </c>
      <c r="J95" s="11">
        <v>8.73</v>
      </c>
      <c r="K95" s="7" cm="1">
        <f t="array" ref="K95">_FV(B95,"Price")</f>
        <v>183.35</v>
      </c>
    </row>
    <row r="96" spans="1:14" hidden="1" x14ac:dyDescent="0.35">
      <c r="A96">
        <v>98</v>
      </c>
      <c r="B96" t="e" vm="67">
        <v>#VALUE!</v>
      </c>
      <c r="C96" s="8" t="str" cm="1">
        <f t="array" ref="C96">_FV(B96,"Industry")</f>
        <v>Banking Services</v>
      </c>
      <c r="D96" s="9" cm="1">
        <f t="array" ref="D96">_FV(B96,"P/E",TRUE)</f>
        <v>65.400000000000006</v>
      </c>
      <c r="E96" s="8" cm="1">
        <f t="array" ref="E96">_FV(B96,"Change (%)",TRUE)</f>
        <v>6.1150000000000006E-3</v>
      </c>
      <c r="F96" s="12" t="s">
        <v>208</v>
      </c>
      <c r="G96" s="10">
        <v>659</v>
      </c>
      <c r="H96" s="10">
        <v>74</v>
      </c>
      <c r="I96" s="11">
        <v>10</v>
      </c>
      <c r="J96" s="11">
        <v>0</v>
      </c>
      <c r="K96" s="7" cm="1">
        <f t="array" ref="K96">_FV(B96,"Price")</f>
        <v>847.3</v>
      </c>
    </row>
    <row r="97" spans="1:14" hidden="1" x14ac:dyDescent="0.35">
      <c r="A97">
        <v>99</v>
      </c>
      <c r="B97" t="e" vm="78">
        <v>#VALUE!</v>
      </c>
      <c r="C97" s="8" t="str" cm="1">
        <f t="array" ref="C97">_FV(B97,"Industry")</f>
        <v>Homebuilding &amp; Construction Supplies</v>
      </c>
      <c r="D97" s="9" cm="1">
        <f t="array" ref="D97">_FV(B97,"P/E",TRUE)</f>
        <v>28.93</v>
      </c>
      <c r="E97" s="8" cm="1">
        <f t="array" ref="E97">_FV(B97,"Change (%)",TRUE)</f>
        <v>-2.8879000000000002E-2</v>
      </c>
      <c r="F97" s="12" t="s">
        <v>209</v>
      </c>
      <c r="G97" s="10">
        <v>521</v>
      </c>
      <c r="H97" s="10">
        <v>101</v>
      </c>
      <c r="I97" s="11">
        <v>10</v>
      </c>
      <c r="J97" s="11">
        <v>0.53</v>
      </c>
      <c r="K97" s="7" cm="1">
        <f t="array" ref="K97">_FV(B97,"Price")</f>
        <v>659.1</v>
      </c>
    </row>
    <row r="98" spans="1:14" hidden="1" x14ac:dyDescent="0.35">
      <c r="A98">
        <v>100</v>
      </c>
      <c r="B98" t="e" vm="83">
        <v>#VALUE!</v>
      </c>
      <c r="C98" s="8" t="str" cm="1">
        <f t="array" ref="C98">_FV(B98,"Industry")</f>
        <v>Chemicals</v>
      </c>
      <c r="D98" s="9" cm="1">
        <f t="array" ref="D98">_FV(B98,"P/E",TRUE)</f>
        <v>4.6100000000000003</v>
      </c>
      <c r="E98" s="8" cm="1">
        <f t="array" ref="E98">_FV(B98,"Change (%)",TRUE)</f>
        <v>-1.9143E-2</v>
      </c>
      <c r="F98" s="12" t="s">
        <v>210</v>
      </c>
      <c r="G98" s="10">
        <v>91</v>
      </c>
      <c r="H98" s="10">
        <v>75</v>
      </c>
      <c r="I98" s="11">
        <v>10</v>
      </c>
      <c r="J98" s="11">
        <v>2.3199999999999998</v>
      </c>
      <c r="K98" s="7" cm="1">
        <f t="array" ref="K98">_FV(B98,"Price")</f>
        <v>107.6</v>
      </c>
      <c r="N98" s="21">
        <f>SUM(N3:N88)</f>
        <v>110703.5</v>
      </c>
    </row>
    <row r="99" spans="1:14" hidden="1" x14ac:dyDescent="0.35">
      <c r="A99">
        <v>101</v>
      </c>
      <c r="B99" t="e" vm="84">
        <v>#VALUE!</v>
      </c>
      <c r="C99" s="8" t="str" cm="1">
        <f t="array" ref="C99">_FV(B99,"Industry")</f>
        <v>Professional &amp; Commercial Services</v>
      </c>
      <c r="D99" s="9" cm="1">
        <f t="array" ref="D99">_FV(B99,"P/E",TRUE)</f>
        <v>18.45</v>
      </c>
      <c r="E99" s="8" cm="1">
        <f t="array" ref="E99">_FV(B99,"Change (%)",TRUE)</f>
        <v>1.7828E-2</v>
      </c>
      <c r="F99" s="12" t="s">
        <v>211</v>
      </c>
      <c r="G99" s="10">
        <v>117</v>
      </c>
      <c r="H99" s="10">
        <v>42</v>
      </c>
      <c r="I99" s="11">
        <v>10</v>
      </c>
      <c r="J99" s="11">
        <v>2.79</v>
      </c>
      <c r="K99" s="7" cm="1">
        <f t="array" ref="K99">_FV(B99,"Price")</f>
        <v>125.6</v>
      </c>
    </row>
    <row r="100" spans="1:14" hidden="1" x14ac:dyDescent="0.35">
      <c r="A100">
        <v>102</v>
      </c>
      <c r="B100" t="e" vm="88">
        <v>#VALUE!</v>
      </c>
      <c r="C100" s="8" t="str" cm="1">
        <f t="array" ref="C100">_FV(B100,"Industry")</f>
        <v>Chemicals</v>
      </c>
      <c r="D100" s="9" cm="1">
        <f t="array" ref="D100">_FV(B100,"P/E",TRUE)</f>
        <v>17.38</v>
      </c>
      <c r="E100" s="8" cm="1">
        <f t="array" ref="E100">_FV(B100,"Change (%)",TRUE)</f>
        <v>8.2899999999999988E-3</v>
      </c>
      <c r="F100" s="12" t="s">
        <v>212</v>
      </c>
      <c r="G100" s="10">
        <v>75</v>
      </c>
      <c r="H100" s="10">
        <v>23</v>
      </c>
      <c r="I100" s="11">
        <v>10</v>
      </c>
      <c r="J100" s="11">
        <v>0</v>
      </c>
      <c r="K100" s="7" cm="1">
        <f t="array" ref="K100">_FV(B100,"Price")</f>
        <v>97.3</v>
      </c>
    </row>
    <row r="101" spans="1:14" hidden="1" x14ac:dyDescent="0.35">
      <c r="A101">
        <v>103</v>
      </c>
      <c r="B101" t="e" vm="89">
        <v>#VALUE!</v>
      </c>
      <c r="C101" s="8" t="str" cm="1">
        <f t="array" ref="C101">_FV(B101,"Industry")</f>
        <v>Chemicals</v>
      </c>
      <c r="D101" s="9" cm="1">
        <f t="array" ref="D101">_FV(B101,"P/E",TRUE)</f>
        <v>11.18</v>
      </c>
      <c r="E101" s="8" cm="1">
        <f t="array" ref="E101">_FV(B101,"Change (%)",TRUE)</f>
        <v>1.7524999999999999E-2</v>
      </c>
      <c r="F101" s="12" t="s">
        <v>213</v>
      </c>
      <c r="G101" s="10">
        <v>136</v>
      </c>
      <c r="H101" s="10">
        <v>75</v>
      </c>
      <c r="I101" s="11">
        <v>10</v>
      </c>
      <c r="J101" s="11">
        <v>1.21</v>
      </c>
      <c r="K101" s="7" cm="1">
        <f t="array" ref="K101">_FV(B101,"Price")</f>
        <v>145.15</v>
      </c>
    </row>
    <row r="102" spans="1:14" hidden="1" x14ac:dyDescent="0.35">
      <c r="A102">
        <v>104</v>
      </c>
      <c r="B102" t="e" vm="90">
        <v>#VALUE!</v>
      </c>
      <c r="C102" s="8" t="str" cm="1">
        <f t="array" ref="C102">_FV(B102,"Industry")</f>
        <v>Oil &amp; Gas</v>
      </c>
      <c r="D102" s="9" cm="1">
        <f t="array" ref="D102">_FV(B102,"P/E",TRUE)</f>
        <v>8.9</v>
      </c>
      <c r="E102" s="8" cm="1">
        <f t="array" ref="E102">_FV(B102,"Change (%)",TRUE)</f>
        <v>-7.6980000000000006E-4</v>
      </c>
      <c r="F102" s="12" t="s">
        <v>214</v>
      </c>
      <c r="G102" s="10">
        <v>190</v>
      </c>
      <c r="H102" s="10">
        <v>84</v>
      </c>
      <c r="I102" s="11">
        <v>10</v>
      </c>
      <c r="J102" s="11">
        <v>1.8</v>
      </c>
      <c r="K102" s="7" cm="1">
        <f t="array" ref="K102">_FV(B102,"Price")</f>
        <v>194.7</v>
      </c>
    </row>
    <row r="103" spans="1:14" hidden="1" x14ac:dyDescent="0.35">
      <c r="A103">
        <v>105</v>
      </c>
      <c r="B103" t="e" vm="98">
        <v>#VALUE!</v>
      </c>
      <c r="C103" s="8" t="str" cm="1">
        <f t="array" ref="C103">_FV(B103,"Industry")</f>
        <v>Paper &amp; Forest Products</v>
      </c>
      <c r="D103" s="9" cm="1">
        <f t="array" ref="D103">_FV(B103,"P/E",TRUE)</f>
        <v>10.09</v>
      </c>
      <c r="E103" s="8" cm="1">
        <f t="array" ref="E103">_FV(B103,"Change (%)",TRUE)</f>
        <v>1.4615E-2</v>
      </c>
      <c r="F103" s="12" t="s">
        <v>215</v>
      </c>
      <c r="G103" s="10">
        <v>208</v>
      </c>
      <c r="H103" s="10">
        <v>252</v>
      </c>
      <c r="I103" s="11">
        <v>10</v>
      </c>
      <c r="J103" s="11">
        <v>1.69</v>
      </c>
      <c r="K103" s="7" cm="1">
        <f t="array" ref="K103">_FV(B103,"Price")</f>
        <v>295.05</v>
      </c>
    </row>
    <row r="104" spans="1:14" hidden="1" x14ac:dyDescent="0.35">
      <c r="A104">
        <v>106</v>
      </c>
      <c r="B104" t="e" vm="132">
        <v>#VALUE!</v>
      </c>
      <c r="C104" s="8" t="str" cm="1">
        <f t="array" ref="C104">_FV(B104,"Industry")</f>
        <v>Insurance</v>
      </c>
      <c r="D104" s="9" cm="1">
        <f t="array" ref="D104">_FV(B104,"P/E",TRUE)</f>
        <v>80.16</v>
      </c>
      <c r="E104" s="8" cm="1">
        <f t="array" ref="E104">_FV(B104,"Change (%)",TRUE)</f>
        <v>1.688E-3</v>
      </c>
      <c r="F104" s="12" t="s">
        <v>183</v>
      </c>
      <c r="G104" s="10">
        <v>1004</v>
      </c>
      <c r="H104" s="10">
        <v>112</v>
      </c>
      <c r="I104" s="11">
        <v>10</v>
      </c>
      <c r="J104" s="11">
        <v>0.23</v>
      </c>
      <c r="K104" s="7" cm="1">
        <f t="array" ref="K104">_FV(B104,"Price")</f>
        <v>1097.6500000000001</v>
      </c>
    </row>
    <row r="105" spans="1:14" hidden="1" x14ac:dyDescent="0.35">
      <c r="A105">
        <v>107</v>
      </c>
      <c r="B105" t="e" vm="131">
        <v>#VALUE!</v>
      </c>
      <c r="C105" s="8" t="str" cm="1">
        <f t="array" ref="C105">_FV(B105,"Industry")</f>
        <v>Insurance</v>
      </c>
      <c r="D105" s="9" cm="1">
        <f t="array" ref="D105">_FV(B105,"P/E",TRUE)</f>
        <v>92.76</v>
      </c>
      <c r="E105" s="8" cm="1">
        <f t="array" ref="E105">_FV(B105,"Change (%)",TRUE)</f>
        <v>1.3305000000000001E-2</v>
      </c>
      <c r="F105" s="12" t="s">
        <v>216</v>
      </c>
      <c r="G105" s="10">
        <v>475</v>
      </c>
      <c r="H105" s="10">
        <v>42</v>
      </c>
      <c r="I105" s="11">
        <v>10</v>
      </c>
      <c r="J105" s="11">
        <v>0.38</v>
      </c>
      <c r="K105" s="7" cm="1">
        <f t="array" ref="K105">_FV(B105,"Price")</f>
        <v>529.29999999999995</v>
      </c>
    </row>
    <row r="106" spans="1:14" hidden="1" x14ac:dyDescent="0.35">
      <c r="A106">
        <v>108</v>
      </c>
      <c r="B106" t="e" vm="192">
        <v>#VALUE!</v>
      </c>
      <c r="C106" s="8" t="str" cm="1">
        <f t="array" ref="C106">_FV(B106,"Industry")</f>
        <v>Insurance</v>
      </c>
      <c r="D106" s="9" cm="1">
        <f t="array" ref="D106">_FV(B106,"P/E",TRUE)</f>
        <v>45.71</v>
      </c>
      <c r="E106" s="8" cm="1">
        <f t="array" ref="E106">_FV(B106,"Change (%)",TRUE)</f>
        <v>7.9400000000000009E-3</v>
      </c>
      <c r="F106" s="12" t="s">
        <v>217</v>
      </c>
      <c r="G106" s="10">
        <v>1226</v>
      </c>
      <c r="H106" s="10">
        <v>182</v>
      </c>
      <c r="I106" s="11">
        <v>10</v>
      </c>
      <c r="J106" s="11">
        <v>0.64</v>
      </c>
      <c r="K106" s="7" cm="1">
        <f t="array" ref="K106">_FV(B106,"Price")</f>
        <v>1250.4000000000001</v>
      </c>
    </row>
    <row r="107" spans="1:14" hidden="1" x14ac:dyDescent="0.35">
      <c r="A107">
        <v>109</v>
      </c>
      <c r="B107" t="e" vm="193">
        <v>#VALUE!</v>
      </c>
      <c r="C107" s="8" t="str" cm="1">
        <f t="array" ref="C107">_FV(B107,"Industry")</f>
        <v>Pharmaceuticals</v>
      </c>
      <c r="D107" s="9" cm="1">
        <f t="array" ref="D107">_FV(B107,"P/E",TRUE)</f>
        <v>20.85</v>
      </c>
      <c r="E107" s="8" cm="1">
        <f t="array" ref="E107">_FV(B107,"Change (%)",TRUE)</f>
        <v>-2.101E-3</v>
      </c>
      <c r="F107" s="12" t="s">
        <v>218</v>
      </c>
      <c r="G107" s="10">
        <v>450</v>
      </c>
      <c r="H107" s="10">
        <v>101</v>
      </c>
      <c r="I107" s="11">
        <v>10</v>
      </c>
      <c r="J107" s="11">
        <v>0.55000000000000004</v>
      </c>
      <c r="K107" s="7" cm="1">
        <f t="array" ref="K107">_FV(B107,"Price")</f>
        <v>451.25</v>
      </c>
    </row>
    <row r="108" spans="1:14" hidden="1" x14ac:dyDescent="0.35">
      <c r="A108">
        <v>110</v>
      </c>
      <c r="B108" t="e" vm="194">
        <v>#VALUE!</v>
      </c>
      <c r="C108" s="8" t="str" cm="1">
        <f t="array" ref="C108">_FV(B108,"Industry")</f>
        <v>Machinery, Equipment &amp; Components</v>
      </c>
      <c r="D108" s="9" cm="1">
        <f t="array" ref="D108">_FV(B108,"P/E",TRUE)</f>
        <v>16.43</v>
      </c>
      <c r="E108" s="8" cm="1">
        <f t="array" ref="E108">_FV(B108,"Change (%)",TRUE)</f>
        <v>-2.2420000000000001E-3</v>
      </c>
      <c r="F108" s="12" t="s">
        <v>219</v>
      </c>
      <c r="G108" s="10">
        <v>520</v>
      </c>
      <c r="H108" s="10">
        <v>256</v>
      </c>
      <c r="I108" s="11">
        <v>1</v>
      </c>
      <c r="J108" s="11">
        <v>1.9</v>
      </c>
      <c r="K108" s="7" cm="1">
        <f t="array" ref="K108">_FV(B108,"Price")</f>
        <v>578.65</v>
      </c>
    </row>
    <row r="109" spans="1:14" hidden="1" x14ac:dyDescent="0.35">
      <c r="A109">
        <v>111</v>
      </c>
      <c r="B109" t="e" vm="25">
        <v>#VALUE!</v>
      </c>
      <c r="C109" s="8" t="str" cm="1">
        <f t="array" ref="C109">_FV(B109,"Industry")</f>
        <v>Banking Services</v>
      </c>
      <c r="D109" s="9" cm="1">
        <f t="array" ref="D109">_FV(B109,"P/E",TRUE)</f>
        <v>13.7</v>
      </c>
      <c r="E109" s="8" cm="1">
        <f t="array" ref="E109">_FV(B109,"Change (%)",TRUE)</f>
        <v>6.319E-3</v>
      </c>
      <c r="F109" s="12" t="s">
        <v>220</v>
      </c>
      <c r="G109" s="10">
        <v>468</v>
      </c>
      <c r="H109" s="10">
        <v>309</v>
      </c>
      <c r="I109" s="11">
        <v>1</v>
      </c>
      <c r="J109" s="11">
        <v>0.81</v>
      </c>
      <c r="K109" s="7" cm="1">
        <f t="array" ref="K109">_FV(B109,"Price")</f>
        <v>493.7</v>
      </c>
    </row>
    <row r="110" spans="1:14" hidden="1" x14ac:dyDescent="0.35">
      <c r="A110">
        <v>112</v>
      </c>
      <c r="B110" t="e" vm="56">
        <v>#VALUE!</v>
      </c>
      <c r="C110" s="8" t="str" cm="1">
        <f t="array" ref="C110">_FV(B110,"Industry")</f>
        <v>Pharmaceuticals</v>
      </c>
      <c r="D110" s="9" cm="1">
        <f t="array" ref="D110">_FV(B110,"P/E",TRUE)</f>
        <v>32.99</v>
      </c>
      <c r="E110" s="8" cm="1">
        <f t="array" ref="E110">_FV(B110,"Change (%)",TRUE)</f>
        <v>-1.6851999999999999E-2</v>
      </c>
      <c r="F110" s="12" t="s">
        <v>221</v>
      </c>
      <c r="G110" s="10">
        <v>911</v>
      </c>
      <c r="H110" s="10">
        <v>241</v>
      </c>
      <c r="I110" s="11">
        <v>2</v>
      </c>
      <c r="J110" s="11">
        <v>0.48</v>
      </c>
      <c r="K110" s="7" cm="1">
        <f t="array" ref="K110">_FV(B110,"Price")</f>
        <v>1032.5999999999999</v>
      </c>
    </row>
    <row r="111" spans="1:14" hidden="1" x14ac:dyDescent="0.35">
      <c r="A111">
        <v>113</v>
      </c>
      <c r="B111" t="e" vm="100">
        <v>#VALUE!</v>
      </c>
      <c r="C111" s="8" t="str" cm="1">
        <f t="array" ref="C111">_FV(B111,"Industry")</f>
        <v>Food &amp; Tobacco</v>
      </c>
      <c r="D111" s="9" cm="1">
        <f t="array" ref="D111">_FV(B111,"P/E",TRUE)</f>
        <v>89.18</v>
      </c>
      <c r="E111" s="8" cm="1">
        <f t="array" ref="E111">_FV(B111,"Change (%)",TRUE)</f>
        <v>6.8200000000000005E-3</v>
      </c>
      <c r="F111" s="12" t="s">
        <v>222</v>
      </c>
      <c r="G111" s="10">
        <v>674</v>
      </c>
      <c r="H111" s="10">
        <v>158</v>
      </c>
      <c r="I111" s="11">
        <v>1</v>
      </c>
      <c r="J111" s="11">
        <v>0.54</v>
      </c>
      <c r="K111" s="7" cm="1">
        <f t="array" ref="K111">_FV(B111,"Price")</f>
        <v>752.9</v>
      </c>
    </row>
    <row r="112" spans="1:14" hidden="1" x14ac:dyDescent="0.35">
      <c r="A112">
        <v>114</v>
      </c>
      <c r="B112" t="e" vm="195">
        <v>#VALUE!</v>
      </c>
      <c r="C112" s="8" t="str" cm="1">
        <f t="array" ref="C112">_FV(B112,"Industry")</f>
        <v>Automobiles &amp; Auto Parts</v>
      </c>
      <c r="D112" s="9" cm="1">
        <f t="array" ref="D112">_FV(B112,"P/E",TRUE)</f>
        <v>14.77</v>
      </c>
      <c r="E112" s="8" cm="1">
        <f t="array" ref="E112">_FV(B112,"Change (%)",TRUE)</f>
        <v>2.6800000000000001E-3</v>
      </c>
      <c r="F112" s="12" t="s">
        <v>223</v>
      </c>
      <c r="G112" s="10">
        <v>781</v>
      </c>
      <c r="H112" s="10">
        <v>347</v>
      </c>
      <c r="I112" s="11">
        <v>5</v>
      </c>
      <c r="J112" s="11">
        <v>1.1100000000000001</v>
      </c>
      <c r="K112" s="7" cm="1">
        <f t="array" ref="K112">_FV(B112,"Price")</f>
        <v>785.6</v>
      </c>
    </row>
    <row r="113" spans="1:11" hidden="1" x14ac:dyDescent="0.35">
      <c r="A113">
        <v>115</v>
      </c>
      <c r="B113" t="e" vm="196">
        <v>#VALUE!</v>
      </c>
      <c r="C113" s="8" t="str" cm="1">
        <f t="array" ref="C113">_FV(B113,"Industry")</f>
        <v>Automobiles &amp; Auto Parts</v>
      </c>
      <c r="D113" s="9" cm="1">
        <f t="array" ref="D113">_FV(B113,"P/E",TRUE)</f>
        <v>16.649999999999999</v>
      </c>
      <c r="E113" s="8" cm="1">
        <f t="array" ref="E113">_FV(B113,"Change (%)",TRUE)</f>
        <v>0</v>
      </c>
      <c r="F113" s="12" t="s">
        <v>224</v>
      </c>
      <c r="G113" s="10">
        <v>141</v>
      </c>
      <c r="H113" s="10">
        <v>89</v>
      </c>
      <c r="I113" s="11">
        <v>1</v>
      </c>
      <c r="J113" s="11">
        <v>1.29</v>
      </c>
      <c r="K113" s="7" cm="1">
        <f t="array" ref="K113">_FV(B113,"Price")</f>
        <v>154.85</v>
      </c>
    </row>
    <row r="114" spans="1:11" hidden="1" x14ac:dyDescent="0.35">
      <c r="A114">
        <v>116</v>
      </c>
      <c r="B114" t="e" vm="51">
        <v>#VALUE!</v>
      </c>
      <c r="C114" s="8" t="str" cm="1">
        <f t="array" ref="C114">_FV(B114,"Industry")</f>
        <v>Aerospace &amp; Defense</v>
      </c>
      <c r="D114" s="9" cm="1">
        <f t="array" ref="D114">_FV(B114,"P/E",TRUE)</f>
        <v>13.45</v>
      </c>
      <c r="E114" s="8" cm="1">
        <f t="array" ref="E114">_FV(B114,"Change (%)",TRUE)</f>
        <v>-2.1747000000000002E-2</v>
      </c>
      <c r="F114" s="12" t="s">
        <v>225</v>
      </c>
      <c r="G114" s="10">
        <v>1240</v>
      </c>
      <c r="H114" s="10">
        <v>493</v>
      </c>
      <c r="I114" s="11">
        <v>10</v>
      </c>
      <c r="J114" s="11">
        <v>2.83</v>
      </c>
      <c r="K114" s="7" cm="1">
        <f t="array" ref="K114">_FV(B114,"Price")</f>
        <v>1414.75</v>
      </c>
    </row>
    <row r="115" spans="1:11" x14ac:dyDescent="0.35">
      <c r="A115">
        <v>117</v>
      </c>
    </row>
    <row r="116" spans="1:11" x14ac:dyDescent="0.35">
      <c r="A116">
        <v>118</v>
      </c>
    </row>
    <row r="117" spans="1:11" x14ac:dyDescent="0.35">
      <c r="A117">
        <v>119</v>
      </c>
    </row>
    <row r="118" spans="1:11" x14ac:dyDescent="0.35">
      <c r="A118">
        <v>120</v>
      </c>
    </row>
    <row r="119" spans="1:11" x14ac:dyDescent="0.35">
      <c r="A119">
        <v>121</v>
      </c>
    </row>
    <row r="120" spans="1:11" x14ac:dyDescent="0.35">
      <c r="A120">
        <v>122</v>
      </c>
    </row>
  </sheetData>
  <autoFilter ref="A1:N120" xr:uid="{DE009DFB-EAAE-4174-9009-EE094AD585D2}">
    <filterColumn colId="2">
      <filters blank="1"/>
    </filterColumn>
  </autoFilter>
  <sortState xmlns:xlrd2="http://schemas.microsoft.com/office/spreadsheetml/2017/richdata2" ref="A2:N98">
    <sortCondition ref="B1:B98"/>
  </sortState>
  <phoneticPr fontId="3" type="noConversion"/>
  <conditionalFormatting sqref="L17">
    <cfRule type="cellIs" dxfId="3" priority="1" operator="lessThanOrEqual">
      <formula>"$K$18"</formula>
    </cfRule>
    <cfRule type="cellIs" dxfId="2" priority="2" operator="lessThanOrEqual">
      <formula>$K$17</formula>
    </cfRule>
    <cfRule type="cellIs" dxfId="1" priority="3" operator="greaterThan">
      <formula>"&gt; $K$18"</formula>
    </cfRule>
    <cfRule type="cellIs" dxfId="0" priority="4" operator="greaterThan">
      <formula>"&gt;$K$18"</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Strong stocks - long term</vt:lpstr>
      <vt:lpstr>FMCG-FOCUS</vt:lpstr>
      <vt:lpstr>BANKING &amp; FINANCE - FOCUS</vt:lpstr>
      <vt:lpstr>RENEWABLE ENERGY - FOCUS</vt:lpstr>
      <vt:lpstr>EV - FOCUS</vt:lpstr>
      <vt:lpstr>HEALTH &amp; INSURANCE - FOCUS</vt:lpstr>
      <vt:lpstr>FOCUSED</vt:lpstr>
      <vt:lpstr>Master-20-MAR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Natarajan</dc:creator>
  <cp:lastModifiedBy>Raja Natarajan</cp:lastModifiedBy>
  <dcterms:created xsi:type="dcterms:W3CDTF">2021-12-27T18:07:51Z</dcterms:created>
  <dcterms:modified xsi:type="dcterms:W3CDTF">2022-03-22T18:31:30Z</dcterms:modified>
</cp:coreProperties>
</file>