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https://mavericsystems-my.sharepoint.com/personal/parthg_maveric-systems_com/Documents/AppStream Documentation/"/>
    </mc:Choice>
  </mc:AlternateContent>
  <xr:revisionPtr revIDLastSave="5" documentId="13_ncr:1_{C86C7EE0-70D9-4F10-9EFE-7477150D890A}" xr6:coauthVersionLast="47" xr6:coauthVersionMax="47" xr10:uidLastSave="{E470981E-AA20-499B-AD23-C5BA04F5C74F}"/>
  <bookViews>
    <workbookView xWindow="28680" yWindow="-120" windowWidth="29040" windowHeight="15720" tabRatio="500" xr2:uid="{00000000-000D-0000-FFFF-FFFF00000000}"/>
  </bookViews>
  <sheets>
    <sheet name="Price Estimator" sheetId="8" r:id="rId1"/>
    <sheet name="Usage Pattern" sheetId="4" r:id="rId2"/>
    <sheet name="Sheet1" sheetId="11" r:id="rId3"/>
    <sheet name="AWS Region-Instance Lin" sheetId="9" state="hidden" r:id="rId4"/>
    <sheet name="AWS Region-Instance Win" sheetId="5" state="hidden" r:id="rId5"/>
    <sheet name="AWS Region-Instance Pricing Lin" sheetId="10" state="hidden" r:id="rId6"/>
    <sheet name="AWS Region-Instance Pricing Win" sheetId="6" state="hidden" r:id="rId7"/>
    <sheet name="Constants" sheetId="7" state="hidden" r:id="rId8"/>
  </sheets>
  <definedNames>
    <definedName name="AWS_Region_Instance_Pricing_Linux">'AWS Region-Instance Pricing Lin'!$A:$BC</definedName>
    <definedName name="AWS_Region_Instance_Pricing_Windows">'AWS Region-Instance Pricing Win'!$A:$BC</definedName>
    <definedName name="AWS_Region_Listing_Linux">OFFSET('AWS Region-Instance Lin'!$A$1,0,0,1,COUNTA('AWS Region-Instance Lin'!$1:$1))</definedName>
    <definedName name="AWS_Region_Listing_Windows">OFFSET('AWS Region-Instance Win'!$A$1,0,0,1,COUNTA('AWS Region-Instance Win'!$1:$1))</definedName>
    <definedName name="buffer_percent">'Price Estimator'!$B$13</definedName>
    <definedName name="Buffer_Weekday_Hours">'Usage Pattern'!$D$31</definedName>
    <definedName name="Buffer_Weekend_Hours">'Usage Pattern'!$D$61</definedName>
    <definedName name="const_RDS_SAL_Options">Constants!$A$2:$A$30</definedName>
    <definedName name="Days_In_Weekend">'Usage Pattern'!$C$35</definedName>
    <definedName name="Days_In_Work_Week">'Usage Pattern'!$C$5</definedName>
    <definedName name="fleet_utilization">'Price Estimator'!$B$13</definedName>
    <definedName name="instance_price_stopped">'Price Estimator'!$B$18</definedName>
    <definedName name="instance_price_streaming">'Price Estimator'!$B$17</definedName>
    <definedName name="Instances_For_Selected_AWS_Region">OFFSET('AWS Region-Instance Win'!$A$1,1,MATCH(Selected_AWS_Region,AWS_Region_Listing,0)-1,COUNTA(INDIRECT("AWSRegionInstance["&amp;Selected_AWS_Region&amp;"]")),1)</definedName>
    <definedName name="Instances_For_Selected_AWS_Region_Linux">OFFSET('AWS Region-Instance Lin'!$A$1,1,MATCH(Selected_AWS_Region,AWS_Region_Listing_Linux,0)-1,COUNTA(INDIRECT("AWSRegionInstance["&amp;Selected_AWS_Region&amp;"]")),1)</definedName>
    <definedName name="Instances_For_Selected_AWS_Region_Windows">OFFSET('AWS Region-Instance Win'!$A$1,1,MATCH(Selected_AWS_Region,AWS_Region_Listing_Windows,0)-1,COUNTA(INDIRECT("AWSRegionInstance["&amp;Selected_AWS_Region&amp;"]")),1)</definedName>
    <definedName name="license_model">'Price Estimator'!$B$12</definedName>
    <definedName name="Linux">Constants!$B$2</definedName>
    <definedName name="Monthly_Buffer_WD_Hours">'Price Estimator'!$C$20</definedName>
    <definedName name="Monthly_Buffer_WE_Hours">'Price Estimator'!$C$21</definedName>
    <definedName name="Monthly_Used_WD_Hours">'Price Estimator'!$B$20</definedName>
    <definedName name="Monthly_Used_WE_Hours">'Price Estimator'!$B$21</definedName>
    <definedName name="OD_WD_Cost">'Price Estimator'!#REF!</definedName>
    <definedName name="OD_WE_Cost">'Price Estimator'!#REF!</definedName>
    <definedName name="OS_Type">'Price Estimator'!$B$9</definedName>
    <definedName name="RDS_SAL_Fee">'Price Estimator'!$B$16</definedName>
    <definedName name="Selected_AWS_Region">'Price Estimator'!$B$10</definedName>
    <definedName name="Selected_Instance">'Price Estimator'!$B$11</definedName>
    <definedName name="total_users">'Price Estimator'!$B$8</definedName>
    <definedName name="US_East__N._Virginia___AWS_Region_Instance_Pricing">'Price Estimator'!$B$10</definedName>
    <definedName name="Used_Weekday_Hours">'Usage Pattern'!$C$31</definedName>
    <definedName name="Used_Weekend_Hours">'Usage Pattern'!$C$61</definedName>
    <definedName name="Weeks_Per_Month">'Usage Pattern'!$C$2</definedName>
    <definedName name="Windows">Constants!$A$2:$A$4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 i="4" l="1"/>
  <c r="H22" i="11"/>
  <c r="G22" i="11"/>
  <c r="H17" i="11"/>
  <c r="H9" i="11"/>
  <c r="G9" i="11"/>
  <c r="J9" i="11" s="1"/>
  <c r="H4" i="11"/>
  <c r="E24" i="11"/>
  <c r="E19" i="11"/>
  <c r="E14" i="11"/>
  <c r="E9" i="11"/>
  <c r="G17" i="11" s="1"/>
  <c r="E4" i="11"/>
  <c r="D30" i="6"/>
  <c r="D31" i="6" s="1"/>
  <c r="D32" i="6" s="1"/>
  <c r="G4" i="11" l="1"/>
  <c r="J4" i="11" s="1"/>
  <c r="K22" i="11"/>
  <c r="K17" i="11"/>
  <c r="N5" i="6"/>
  <c r="N6" i="6" s="1"/>
  <c r="I5" i="6"/>
  <c r="I6" i="6" s="1"/>
  <c r="G5" i="6"/>
  <c r="G6" i="6" s="1"/>
  <c r="F5" i="6"/>
  <c r="F6" i="6" s="1"/>
  <c r="A33" i="10" l="1"/>
  <c r="B17" i="8"/>
  <c r="B16" i="8"/>
  <c r="B18" i="8" l="1"/>
  <c r="B1" i="7"/>
  <c r="A1" i="7"/>
  <c r="D39" i="4" l="1"/>
  <c r="D40" i="4"/>
  <c r="D41" i="4"/>
  <c r="D42" i="4"/>
  <c r="D43" i="4"/>
  <c r="D44" i="4"/>
  <c r="D45" i="4"/>
  <c r="D46" i="4"/>
  <c r="D47" i="4"/>
  <c r="D48" i="4"/>
  <c r="D49" i="4"/>
  <c r="D50" i="4"/>
  <c r="D51" i="4"/>
  <c r="D52" i="4"/>
  <c r="D53" i="4"/>
  <c r="D54" i="4"/>
  <c r="D55" i="4"/>
  <c r="D56" i="4"/>
  <c r="D57" i="4"/>
  <c r="D58" i="4"/>
  <c r="D59" i="4"/>
  <c r="D60" i="4"/>
  <c r="D38" i="4"/>
  <c r="D37" i="4"/>
  <c r="D7" i="4" l="1"/>
  <c r="C30" i="6" l="1"/>
  <c r="I30" i="6" s="1"/>
  <c r="B30" i="6"/>
  <c r="B31" i="6" s="1"/>
  <c r="B32" i="6" s="1"/>
  <c r="I29" i="6"/>
  <c r="G29" i="6"/>
  <c r="C31" i="6" l="1"/>
  <c r="G30" i="6"/>
  <c r="I31" i="6" l="1"/>
  <c r="G31" i="6"/>
  <c r="C32" i="6"/>
  <c r="D9" i="4"/>
  <c r="D10" i="4"/>
  <c r="D11" i="4"/>
  <c r="D12" i="4"/>
  <c r="D13" i="4"/>
  <c r="D14" i="4"/>
  <c r="D15" i="4"/>
  <c r="D16" i="4"/>
  <c r="D17" i="4"/>
  <c r="D18" i="4"/>
  <c r="D19" i="4"/>
  <c r="D20" i="4"/>
  <c r="D21" i="4"/>
  <c r="D22" i="4"/>
  <c r="D23" i="4"/>
  <c r="D25" i="4"/>
  <c r="D26" i="4"/>
  <c r="D27" i="4"/>
  <c r="D28" i="4"/>
  <c r="D29" i="4"/>
  <c r="D30" i="4"/>
  <c r="D8" i="4"/>
  <c r="I32" i="6" l="1"/>
  <c r="G32" i="6"/>
  <c r="C27" i="8" l="1"/>
  <c r="B27" i="8"/>
  <c r="C31" i="4"/>
  <c r="C61" i="4" l="1"/>
  <c r="B21" i="8" s="1"/>
  <c r="B22" i="8" s="1"/>
  <c r="D61" i="4" l="1"/>
  <c r="C21" i="8" s="1"/>
  <c r="D31" i="4"/>
  <c r="C20" i="8" s="1"/>
  <c r="C25" i="8" s="1"/>
  <c r="C22" i="8" l="1"/>
  <c r="C26" i="8"/>
  <c r="B25" i="8"/>
  <c r="C28" i="8" l="1"/>
  <c r="C30" i="8" s="1"/>
  <c r="B26" i="8"/>
  <c r="B28" i="8" s="1"/>
  <c r="B29" i="8" s="1"/>
  <c r="B30" i="8" l="1"/>
  <c r="B32" i="8" s="1"/>
  <c r="C29"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Rathinasamy, Murali</author>
    <author>Microsoft Office User</author>
  </authors>
  <commentList>
    <comment ref="B8" authorId="0" shapeId="0" xr:uid="{00000000-0006-0000-0000-000001000000}">
      <text>
        <r>
          <rPr>
            <sz val="9"/>
            <color rgb="FF000000"/>
            <rFont val="Tahoma"/>
            <family val="2"/>
          </rPr>
          <t>The total number of unique users that will stream in the month. For example, if you have 500 total unique users with 50 concurrent, enter 500. This is used to calculate the user fee and effectively monthly cost per user.</t>
        </r>
      </text>
    </comment>
    <comment ref="B9" authorId="1" shapeId="0" xr:uid="{94CC6302-E56D-DE44-A65F-0C4DF544CE04}">
      <text>
        <r>
          <rPr>
            <sz val="9"/>
            <color rgb="FF000000"/>
            <rFont val="Tahoma"/>
            <family val="2"/>
          </rPr>
          <t>Windows operating system might incur additional monthly user fee. Check license model for more details. This fee is not applicable if you are using Linux operating system or decide to bring your own license for Windows operating system.</t>
        </r>
      </text>
    </comment>
    <comment ref="B10" authorId="0" shapeId="0" xr:uid="{00000000-0006-0000-0000-000002000000}">
      <text>
        <r>
          <rPr>
            <sz val="9"/>
            <color rgb="FF000000"/>
            <rFont val="Tahoma"/>
            <family val="2"/>
          </rPr>
          <t>AWS Region which will have your streaming resources.</t>
        </r>
      </text>
    </comment>
    <comment ref="B11" authorId="0" shapeId="0" xr:uid="{00000000-0006-0000-0000-000003000000}">
      <text>
        <r>
          <rPr>
            <sz val="9"/>
            <color rgb="FF000000"/>
            <rFont val="Tahoma"/>
            <family val="2"/>
          </rPr>
          <t>Instance type and size that your users will use</t>
        </r>
      </text>
    </comment>
    <comment ref="B12" authorId="0" shapeId="0" xr:uid="{00000000-0006-0000-0000-000004000000}">
      <text>
        <r>
          <rPr>
            <b/>
            <sz val="9"/>
            <color rgb="FF000000"/>
            <rFont val="Tahoma"/>
            <family val="2"/>
          </rPr>
          <t>Commercial license included</t>
        </r>
        <r>
          <rPr>
            <sz val="9"/>
            <color rgb="FF000000"/>
            <rFont val="Tahoma"/>
            <family val="2"/>
          </rPr>
          <t xml:space="preserve">: AWS will assess an user fee for each unique user that streams per region per month. Applicable for Windows operating systems.
</t>
        </r>
        <r>
          <rPr>
            <sz val="9"/>
            <color rgb="FF000000"/>
            <rFont val="Tahoma"/>
            <family val="2"/>
          </rPr>
          <t xml:space="preserve">
</t>
        </r>
        <r>
          <rPr>
            <b/>
            <sz val="9"/>
            <color rgb="FF000000"/>
            <rFont val="Tahoma"/>
            <family val="2"/>
          </rPr>
          <t>Academic license included</t>
        </r>
        <r>
          <rPr>
            <sz val="9"/>
            <color rgb="FF000000"/>
            <rFont val="Tahoma"/>
            <family val="2"/>
          </rPr>
          <t xml:space="preserve">: AWS will assess a user fee for each unique user that streams per region per month, at a lower rate, for qualified schools, universities, and public institutions. </t>
        </r>
        <r>
          <rPr>
            <sz val="10"/>
            <color rgb="FF000000"/>
            <rFont val="Calibri"/>
            <family val="2"/>
          </rPr>
          <t>Applicable for Windows operating systems</t>
        </r>
        <r>
          <rPr>
            <sz val="9"/>
            <color rgb="FF000000"/>
            <rFont val="Calibri"/>
            <family val="2"/>
          </rPr>
          <t xml:space="preserve">.
</t>
        </r>
        <r>
          <rPr>
            <sz val="9"/>
            <color rgb="FF000000"/>
            <rFont val="Tahoma"/>
            <family val="2"/>
          </rPr>
          <t xml:space="preserve">
</t>
        </r>
        <r>
          <rPr>
            <b/>
            <sz val="9"/>
            <color rgb="FF000000"/>
            <rFont val="Tahoma"/>
            <family val="2"/>
          </rPr>
          <t>Bring your own license</t>
        </r>
        <r>
          <rPr>
            <sz val="9"/>
            <color rgb="FF000000"/>
            <rFont val="Tahoma"/>
            <family val="2"/>
          </rPr>
          <t xml:space="preserve">: You are porting your existing user licenses to use with AWS. For users covered by your own licenses, you won't incur monthly user fees. </t>
        </r>
        <r>
          <rPr>
            <sz val="10"/>
            <color rgb="FF000000"/>
            <rFont val="Calibri"/>
            <family val="2"/>
          </rPr>
          <t xml:space="preserve">Applicable for Windows operating systems.
</t>
        </r>
        <r>
          <rPr>
            <sz val="10"/>
            <color rgb="FF000000"/>
            <rFont val="Tahoma"/>
            <family val="2"/>
          </rPr>
          <t xml:space="preserve">
</t>
        </r>
        <r>
          <rPr>
            <b/>
            <sz val="9"/>
            <color rgb="FF000000"/>
            <rFont val="Tahoma"/>
            <family val="2"/>
          </rPr>
          <t>Not Applicable:</t>
        </r>
        <r>
          <rPr>
            <sz val="9"/>
            <color rgb="FF000000"/>
            <rFont val="Tahoma"/>
            <family val="2"/>
          </rPr>
          <t xml:space="preserve"> Select this for Linux operating system.</t>
        </r>
      </text>
    </comment>
    <comment ref="B13" authorId="0" shapeId="0" xr:uid="{00000000-0006-0000-0000-000005000000}">
      <text>
        <r>
          <rPr>
            <sz val="9"/>
            <color rgb="FF000000"/>
            <rFont val="Tahoma"/>
            <family val="2"/>
          </rPr>
          <t>Specify the percent of concurrency to maintain as buffer capacity. Buffer capacity ensures new users have an instance available.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Rathinasamy, Murali</author>
  </authors>
  <commentList>
    <comment ref="C6" authorId="0" shapeId="0" xr:uid="{00000000-0006-0000-0100-000001000000}">
      <text>
        <r>
          <rPr>
            <sz val="9"/>
            <color indexed="81"/>
            <rFont val="Tahoma"/>
            <family val="2"/>
          </rPr>
          <t>Actual concurrent users expected during this hour</t>
        </r>
      </text>
    </comment>
    <comment ref="D6" authorId="0" shapeId="0" xr:uid="{00000000-0006-0000-0100-000002000000}">
      <text>
        <r>
          <rPr>
            <sz val="9"/>
            <color indexed="81"/>
            <rFont val="Tahoma"/>
            <family val="2"/>
          </rPr>
          <t>Buffer instances are automatically calculated based on the buffer capacity % entered on the Price Estimator.</t>
        </r>
      </text>
    </comment>
    <comment ref="C36" authorId="0" shapeId="0" xr:uid="{00000000-0006-0000-0100-000003000000}">
      <text>
        <r>
          <rPr>
            <sz val="9"/>
            <color indexed="81"/>
            <rFont val="Tahoma"/>
            <family val="2"/>
          </rPr>
          <t>Actual concurrent users expected during this hour</t>
        </r>
      </text>
    </comment>
    <comment ref="D36" authorId="0" shapeId="0" xr:uid="{00000000-0006-0000-0100-000004000000}">
      <text>
        <r>
          <rPr>
            <sz val="9"/>
            <color rgb="FF000000"/>
            <rFont val="Tahoma"/>
            <family val="2"/>
          </rPr>
          <t>Buffer instances are automatically calculated based on the buffer capacity % entered on the Price Estimator.</t>
        </r>
      </text>
    </comment>
  </commentList>
</comments>
</file>

<file path=xl/sharedStrings.xml><?xml version="1.0" encoding="utf-8"?>
<sst xmlns="http://schemas.openxmlformats.org/spreadsheetml/2006/main" count="1103" uniqueCount="135">
  <si>
    <t>Amazon AppStream 2.0 Pricing Tool</t>
  </si>
  <si>
    <r>
      <rPr>
        <b/>
        <sz val="12"/>
        <color theme="1"/>
        <rFont val="Calibri"/>
        <family val="2"/>
        <scheme val="minor"/>
      </rPr>
      <t>Version:</t>
    </r>
    <r>
      <rPr>
        <sz val="12"/>
        <color theme="1"/>
        <rFont val="Calibri"/>
        <family val="2"/>
        <scheme val="minor"/>
      </rPr>
      <t xml:space="preserve"> June-28-2022</t>
    </r>
  </si>
  <si>
    <t>You can download the latest version of the pricing tool:</t>
  </si>
  <si>
    <t>Amazon AppStream 2.0 releases a simple pricing tool</t>
  </si>
  <si>
    <t>Amazon AppStream 2.0 pricing page</t>
  </si>
  <si>
    <t>Learn about Elastic fleets</t>
  </si>
  <si>
    <t>The Amazon AppStream 2.0 Pricing Tool provides only an estimate of your AWS fees related to your usage of AppStream 2.0 and doesn’t include any taxes that might apply. Your actual fees depend on a variety of factors, including your actual usage of AWS services. Use this tool to estimate your price for Always-on and On-demand fleets.</t>
  </si>
  <si>
    <r>
      <t xml:space="preserve">User inputs are in </t>
    </r>
    <r>
      <rPr>
        <b/>
        <i/>
        <sz val="12"/>
        <color theme="8"/>
        <rFont val="Calibri (Body)"/>
      </rPr>
      <t>BLUE</t>
    </r>
  </si>
  <si>
    <t>Calculated fields are in GRAY</t>
  </si>
  <si>
    <t>Calculator output estimates are in GREEN</t>
  </si>
  <si>
    <t>Workload Input</t>
  </si>
  <si>
    <t>Total unique users in your organization:</t>
  </si>
  <si>
    <t>Operating System Type:</t>
  </si>
  <si>
    <t>Windows</t>
  </si>
  <si>
    <t>AWS Region:</t>
  </si>
  <si>
    <t>Asia Pacific (Singapore)</t>
  </si>
  <si>
    <t>Instance type and size:</t>
  </si>
  <si>
    <t>standard.2xlarge</t>
  </si>
  <si>
    <t>Instance details</t>
  </si>
  <si>
    <t>License model for user fee:</t>
  </si>
  <si>
    <t>Commercial license included</t>
  </si>
  <si>
    <t>Pick a license model for Windows. For Linux set it to "Not Applicable".</t>
  </si>
  <si>
    <t>Buffer capacity as % of concurrency:</t>
  </si>
  <si>
    <t>Switch to the Usage Pattern worksheet, then enter in your expected concurrency per hour for weekdays and weekend days. The outputs will then be automatically calculated based on the inputs above and entered Usage Pattern.</t>
  </si>
  <si>
    <t>Outputs</t>
  </si>
  <si>
    <t>RDS SAL fee per user per month</t>
  </si>
  <si>
    <t>Price per streaming hour</t>
  </si>
  <si>
    <t>Price per stopped instance hour</t>
  </si>
  <si>
    <t>This is fixed for all the Instance.</t>
  </si>
  <si>
    <t>Used Hours</t>
  </si>
  <si>
    <t>Buffer Hours</t>
  </si>
  <si>
    <t>Monthly hours (weekdays)</t>
  </si>
  <si>
    <t>Monthly hours (weekends)</t>
  </si>
  <si>
    <t>Effective monthly hours per user</t>
  </si>
  <si>
    <t>Fleet Type</t>
  </si>
  <si>
    <t>Always-On Fleet</t>
  </si>
  <si>
    <t>On-Demand Fleet Cost</t>
  </si>
  <si>
    <t>Total Cost</t>
  </si>
  <si>
    <t>Monthly streaming cost - Weekdays</t>
  </si>
  <si>
    <t>Monthly streaming cost - Weekends</t>
  </si>
  <si>
    <t>Monthly user fee costs</t>
  </si>
  <si>
    <t>Total monthly cost estimate</t>
  </si>
  <si>
    <t>Annualized cost estimate</t>
  </si>
  <si>
    <t>Effective monthly cost/user Estimate</t>
  </si>
  <si>
    <t>Savings of on-demand over always-on</t>
  </si>
  <si>
    <t>Larger instance types have greater savings when using on-demand fleets. Other ways to reduce cost are reducing buffer capacity and bringing your own user licenses.</t>
  </si>
  <si>
    <t>Usage Pattern</t>
  </si>
  <si>
    <t>Weeks per month:</t>
  </si>
  <si>
    <t>Weekday Usage</t>
  </si>
  <si>
    <t>Days in work week:</t>
  </si>
  <si>
    <t>Start Time</t>
  </si>
  <si>
    <t>End Time</t>
  </si>
  <si>
    <t>Concurrent Users in each hour</t>
  </si>
  <si>
    <t>Buffer instances</t>
  </si>
  <si>
    <t>Total per weekday</t>
  </si>
  <si>
    <t>Weekend Usage</t>
  </si>
  <si>
    <t>Days in weekend:</t>
  </si>
  <si>
    <t>Total per weekend day</t>
  </si>
  <si>
    <t>Singapore Region</t>
  </si>
  <si>
    <t>Always-On (Weekdays)</t>
  </si>
  <si>
    <t>Per User Cost</t>
  </si>
  <si>
    <t>User Count</t>
  </si>
  <si>
    <t>Amount</t>
  </si>
  <si>
    <t>Used Hour</t>
  </si>
  <si>
    <t>Price per Streming Hour</t>
  </si>
  <si>
    <t>Weekdays Calculation</t>
  </si>
  <si>
    <t>Always-On (Weekends)</t>
  </si>
  <si>
    <t>Used Hours in Weekdays</t>
  </si>
  <si>
    <t>Weekdays</t>
  </si>
  <si>
    <t>Weeks in a Month</t>
  </si>
  <si>
    <t>Monthly Hours</t>
  </si>
  <si>
    <t>Weekend Calculation</t>
  </si>
  <si>
    <t>Used Hours in Weekend</t>
  </si>
  <si>
    <t>Weekend days</t>
  </si>
  <si>
    <t>On-Demand (Weekdays)</t>
  </si>
  <si>
    <t>Price per Stopped Instance Hour</t>
  </si>
  <si>
    <t>Buffer Hours Calculation (Weekdays)</t>
  </si>
  <si>
    <t>Weeks In Month</t>
  </si>
  <si>
    <t>MonthlyHours</t>
  </si>
  <si>
    <t>On-Demand (Weekends)</t>
  </si>
  <si>
    <t>Buffer Hours Calculation (Weekend)</t>
  </si>
  <si>
    <t>Weekends</t>
  </si>
  <si>
    <t>US East (N. Virginia)</t>
  </si>
  <si>
    <t>US West (Oregon)</t>
  </si>
  <si>
    <t>US East (Ohio)</t>
  </si>
  <si>
    <t>Canada (Central)</t>
  </si>
  <si>
    <t>EU (Frankfurt)</t>
  </si>
  <si>
    <t>EU (Ireland)</t>
  </si>
  <si>
    <t>EU (London)</t>
  </si>
  <si>
    <t>Asia Pacific (Tokyo)</t>
  </si>
  <si>
    <t>Asia Pacific (Mumbai)</t>
  </si>
  <si>
    <t>Asia Pacific (Sydney)</t>
  </si>
  <si>
    <t>Asia Pacific (Seoul)</t>
  </si>
  <si>
    <t>AWS GovCloud (US-West)</t>
  </si>
  <si>
    <t>South America (Sao Paulo)</t>
  </si>
  <si>
    <t>standard.small</t>
  </si>
  <si>
    <t>standard.medium</t>
  </si>
  <si>
    <t>standard.large</t>
  </si>
  <si>
    <t>standard.xlarge</t>
  </si>
  <si>
    <t>compute.large</t>
  </si>
  <si>
    <t>compute.xlarge</t>
  </si>
  <si>
    <t>compute.2xlarge</t>
  </si>
  <si>
    <t>compute.4xlarge</t>
  </si>
  <si>
    <t>compute.8xlarge</t>
  </si>
  <si>
    <t>memory.large</t>
  </si>
  <si>
    <t>memory.xlarge</t>
  </si>
  <si>
    <t>memory.2xlarge</t>
  </si>
  <si>
    <t>memory.z1d.large</t>
  </si>
  <si>
    <t>memory.4xlarge</t>
  </si>
  <si>
    <t>memory.z1d.xlarge</t>
  </si>
  <si>
    <t>memory.8xlarge</t>
  </si>
  <si>
    <t>memory.z1d.2xlarge</t>
  </si>
  <si>
    <t>graphics.g4dn.xlarge</t>
  </si>
  <si>
    <t>memory.z1d.3xlarge</t>
  </si>
  <si>
    <t>graphics.g4dn.2xlarge</t>
  </si>
  <si>
    <t>memory.z1d.6xlarge</t>
  </si>
  <si>
    <t>graphics.g4dn.4xlarge</t>
  </si>
  <si>
    <t>memory.z1d.12xlarge</t>
  </si>
  <si>
    <t>graphics.g4dn.8xlarge</t>
  </si>
  <si>
    <t>graphics-pro.4xlarge</t>
  </si>
  <si>
    <t>graphics.g4dn.12xlarge</t>
  </si>
  <si>
    <t>graphics-pro.8xlarge</t>
  </si>
  <si>
    <t>graphics.g4dn.16xlarge</t>
  </si>
  <si>
    <t>graphics-pro.16xlarge</t>
  </si>
  <si>
    <t>graphics-design.large</t>
  </si>
  <si>
    <t>graphics-design.xlarge</t>
  </si>
  <si>
    <t>graphics-design.2xlarge</t>
  </si>
  <si>
    <t>graphics-design.4xlarge</t>
  </si>
  <si>
    <t>N/A</t>
  </si>
  <si>
    <t>StoppedInstanceFee</t>
  </si>
  <si>
    <t>Academic license included</t>
  </si>
  <si>
    <t>Bring your own license</t>
  </si>
  <si>
    <t>Operating System Type</t>
  </si>
  <si>
    <t>Not Applicable</t>
  </si>
  <si>
    <t>Amazon Linux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</si>
</sst>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0.00_);_(&quot;$&quot;* \(#,##0.00\);_(&quot;$&quot;* &quot;-&quot;??_);_(@_)"/>
    <numFmt numFmtId="165" formatCode="_(* #,##0.00_);_(* \(#,##0.00\);_(* &quot;-&quot;??_);_(@_)"/>
    <numFmt numFmtId="166" formatCode="_(&quot;$&quot;* #,##0_);_(&quot;$&quot;* \(#,##0\);_(&quot;$&quot;* &quot;-&quot;??_);_(@_)"/>
    <numFmt numFmtId="167" formatCode="0.0%"/>
    <numFmt numFmtId="168" formatCode="_-&quot;$&quot;* #,##0.000_-;\-&quot;$&quot;* #,##0.000_-;_-&quot;$&quot;* &quot;-&quot;??_-;_-@_-"/>
    <numFmt numFmtId="169" formatCode="_(* #,##0_);_(* \(#,##0\);_(* &quot;-&quot;??_);_(@_)"/>
    <numFmt numFmtId="170" formatCode="&quot;$&quot;#,##0.00"/>
    <numFmt numFmtId="171" formatCode="&quot;$&quot;#,##0.000"/>
    <numFmt numFmtId="172" formatCode="[$$-409]#,##0.00"/>
  </numFmts>
  <fonts count="29">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2"/>
      <color theme="1"/>
      <name val="Calibri"/>
      <family val="2"/>
      <scheme val="minor"/>
    </font>
    <font>
      <b/>
      <sz val="12"/>
      <color rgb="FF000000"/>
      <name val="Calibri"/>
      <family val="2"/>
      <scheme val="minor"/>
    </font>
    <font>
      <sz val="12"/>
      <color rgb="FF000000"/>
      <name val="Calibri"/>
      <family val="2"/>
      <scheme val="minor"/>
    </font>
    <font>
      <u/>
      <sz val="12"/>
      <color theme="10"/>
      <name val="Calibri"/>
      <family val="2"/>
      <scheme val="minor"/>
    </font>
    <font>
      <u/>
      <sz val="12"/>
      <color theme="11"/>
      <name val="Calibri"/>
      <family val="2"/>
      <scheme val="minor"/>
    </font>
    <font>
      <b/>
      <sz val="16"/>
      <color theme="0"/>
      <name val="Calibri"/>
      <family val="2"/>
      <scheme val="minor"/>
    </font>
    <font>
      <sz val="12"/>
      <color theme="4"/>
      <name val="Calibri"/>
      <family val="2"/>
      <scheme val="minor"/>
    </font>
    <font>
      <i/>
      <sz val="12"/>
      <color theme="1"/>
      <name val="Calibri"/>
      <family val="2"/>
      <scheme val="minor"/>
    </font>
    <font>
      <b/>
      <sz val="22"/>
      <color theme="1"/>
      <name val="Calibri"/>
      <family val="2"/>
      <scheme val="minor"/>
    </font>
    <font>
      <b/>
      <sz val="12"/>
      <color theme="0"/>
      <name val="Calibri"/>
      <family val="2"/>
      <scheme val="minor"/>
    </font>
    <font>
      <b/>
      <i/>
      <sz val="12"/>
      <color theme="8"/>
      <name val="Calibri (Body)"/>
    </font>
    <font>
      <b/>
      <i/>
      <sz val="12"/>
      <color theme="9"/>
      <name val="Calibri"/>
      <family val="2"/>
      <scheme val="minor"/>
    </font>
    <font>
      <sz val="12"/>
      <color rgb="FF0070C0"/>
      <name val="Calibri"/>
      <family val="2"/>
      <scheme val="minor"/>
    </font>
    <font>
      <sz val="12"/>
      <color theme="9"/>
      <name val="Calibri"/>
      <family val="2"/>
      <scheme val="minor"/>
    </font>
    <font>
      <sz val="9"/>
      <color indexed="81"/>
      <name val="Tahoma"/>
      <family val="2"/>
    </font>
    <font>
      <sz val="9"/>
      <color rgb="FF000000"/>
      <name val="Tahoma"/>
      <family val="2"/>
    </font>
    <font>
      <b/>
      <sz val="9"/>
      <color rgb="FF000000"/>
      <name val="Tahoma"/>
      <family val="2"/>
    </font>
    <font>
      <sz val="10"/>
      <color rgb="FF000000"/>
      <name val="Tahoma"/>
      <family val="2"/>
    </font>
    <font>
      <sz val="10"/>
      <color rgb="FF000000"/>
      <name val="Calibri"/>
      <family val="2"/>
    </font>
    <font>
      <sz val="9"/>
      <color rgb="FF000000"/>
      <name val="Calibri"/>
      <family val="2"/>
    </font>
    <font>
      <u/>
      <sz val="12"/>
      <color rgb="FF0066CC"/>
      <name val="Calibri"/>
      <family val="2"/>
      <scheme val="minor"/>
    </font>
    <font>
      <sz val="12"/>
      <color rgb="FF000000"/>
      <name val="Calibri"/>
      <scheme val="minor"/>
    </font>
    <font>
      <b/>
      <sz val="12"/>
      <color rgb="FF000000"/>
      <name val="Calibri"/>
      <scheme val="minor"/>
    </font>
    <font>
      <b/>
      <sz val="11"/>
      <color theme="0"/>
      <name val="Calibri"/>
      <family val="2"/>
      <scheme val="minor"/>
    </font>
    <font>
      <b/>
      <sz val="11"/>
      <color theme="1"/>
      <name val="Calibri"/>
      <family val="2"/>
      <scheme val="minor"/>
    </font>
  </fonts>
  <fills count="12">
    <fill>
      <patternFill patternType="none"/>
    </fill>
    <fill>
      <patternFill patternType="gray125"/>
    </fill>
    <fill>
      <patternFill patternType="solid">
        <fgColor theme="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rgb="FF4472C4"/>
        <bgColor rgb="FF4472C4"/>
      </patternFill>
    </fill>
    <fill>
      <patternFill patternType="solid">
        <fgColor rgb="FFB4C6E7"/>
        <bgColor rgb="FFB4C6E7"/>
      </patternFill>
    </fill>
    <fill>
      <patternFill patternType="solid">
        <fgColor rgb="FFD9E1F2"/>
        <bgColor rgb="FFD9E1F2"/>
      </patternFill>
    </fill>
    <fill>
      <patternFill patternType="solid">
        <fgColor theme="9" tint="-0.249977111117893"/>
        <bgColor indexed="64"/>
      </patternFill>
    </fill>
    <fill>
      <patternFill patternType="solid">
        <fgColor rgb="FF00B050"/>
        <bgColor indexed="64"/>
      </patternFill>
    </fill>
  </fills>
  <borders count="39">
    <border>
      <left/>
      <right/>
      <top/>
      <bottom/>
      <diagonal/>
    </border>
    <border>
      <left style="thin">
        <color auto="1"/>
      </left>
      <right style="thin">
        <color auto="1"/>
      </right>
      <top/>
      <bottom style="thin">
        <color auto="1"/>
      </bottom>
      <diagonal/>
    </border>
    <border>
      <left/>
      <right style="thin">
        <color auto="1"/>
      </right>
      <top/>
      <bottom style="thin">
        <color auto="1"/>
      </bottom>
      <diagonal/>
    </border>
    <border>
      <left/>
      <right/>
      <top/>
      <bottom style="medium">
        <color auto="1"/>
      </bottom>
      <diagonal/>
    </border>
    <border>
      <left style="medium">
        <color auto="1"/>
      </left>
      <right/>
      <top/>
      <bottom style="medium">
        <color auto="1"/>
      </bottom>
      <diagonal/>
    </border>
    <border>
      <left style="medium">
        <color theme="0" tint="-0.14999847407452621"/>
      </left>
      <right style="medium">
        <color theme="0" tint="-0.14999847407452621"/>
      </right>
      <top style="medium">
        <color theme="0" tint="-0.14999847407452621"/>
      </top>
      <bottom/>
      <diagonal/>
    </border>
    <border>
      <left style="medium">
        <color theme="0" tint="-0.14999847407452621"/>
      </left>
      <right style="medium">
        <color theme="0" tint="-0.14999847407452621"/>
      </right>
      <top/>
      <bottom/>
      <diagonal/>
    </border>
    <border>
      <left style="medium">
        <color theme="0" tint="-0.14999847407452621"/>
      </left>
      <right style="medium">
        <color theme="0" tint="-0.14999847407452621"/>
      </right>
      <top/>
      <bottom style="double">
        <color theme="1"/>
      </bottom>
      <diagonal/>
    </border>
    <border>
      <left style="medium">
        <color auto="1"/>
      </left>
      <right/>
      <top style="medium">
        <color theme="4" tint="-0.499984740745262"/>
      </top>
      <bottom/>
      <diagonal/>
    </border>
    <border>
      <left style="medium">
        <color theme="0" tint="-0.14999847407452621"/>
      </left>
      <right style="medium">
        <color theme="0" tint="-0.14999847407452621"/>
      </right>
      <top/>
      <bottom style="medium">
        <color theme="1"/>
      </bottom>
      <diagonal/>
    </border>
    <border>
      <left style="medium">
        <color theme="4"/>
      </left>
      <right/>
      <top style="medium">
        <color theme="4"/>
      </top>
      <bottom/>
      <diagonal/>
    </border>
    <border>
      <left style="medium">
        <color theme="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theme="0" tint="-0.14999847407452621"/>
      </left>
      <right style="medium">
        <color indexed="64"/>
      </right>
      <top style="medium">
        <color theme="0" tint="-0.14999847407452621"/>
      </top>
      <bottom/>
      <diagonal/>
    </border>
    <border>
      <left style="medium">
        <color theme="0" tint="-0.14999847407452621"/>
      </left>
      <right style="medium">
        <color theme="0" tint="-0.14999847407452621"/>
      </right>
      <top/>
      <bottom style="medium">
        <color indexed="64"/>
      </bottom>
      <diagonal/>
    </border>
    <border>
      <left style="medium">
        <color theme="0" tint="-0.14999847407452621"/>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theme="4"/>
      </left>
      <right style="medium">
        <color theme="8"/>
      </right>
      <top style="medium">
        <color theme="4"/>
      </top>
      <bottom/>
      <diagonal/>
    </border>
    <border>
      <left style="medium">
        <color theme="8"/>
      </left>
      <right style="medium">
        <color theme="8"/>
      </right>
      <top style="medium">
        <color theme="8"/>
      </top>
      <bottom style="medium">
        <color theme="8"/>
      </bottom>
      <diagonal/>
    </border>
    <border>
      <left style="medium">
        <color theme="4"/>
      </left>
      <right style="medium">
        <color theme="8"/>
      </right>
      <top style="medium">
        <color theme="4"/>
      </top>
      <bottom style="medium">
        <color theme="4"/>
      </bottom>
      <diagonal/>
    </border>
    <border>
      <left style="medium">
        <color theme="8"/>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theme="4"/>
      </left>
      <right style="medium">
        <color theme="4"/>
      </right>
      <top style="medium">
        <color theme="4"/>
      </top>
      <bottom style="medium">
        <color theme="4"/>
      </bottom>
      <diagonal/>
    </border>
    <border>
      <left/>
      <right style="medium">
        <color theme="4"/>
      </right>
      <top/>
      <bottom/>
      <diagonal/>
    </border>
    <border>
      <left/>
      <right style="medium">
        <color indexed="64"/>
      </right>
      <top/>
      <bottom style="medium">
        <color indexed="64"/>
      </bottom>
      <diagonal/>
    </border>
    <border>
      <left style="medium">
        <color theme="4"/>
      </left>
      <right style="medium">
        <color indexed="64"/>
      </right>
      <top/>
      <bottom/>
      <diagonal/>
    </border>
    <border>
      <left style="medium">
        <color theme="4"/>
      </left>
      <right style="medium">
        <color indexed="64"/>
      </right>
      <top/>
      <bottom style="medium">
        <color indexed="64"/>
      </bottom>
      <diagonal/>
    </border>
    <border>
      <left style="medium">
        <color auto="1"/>
      </left>
      <right/>
      <top/>
      <bottom/>
      <diagonal/>
    </border>
    <border>
      <left style="medium">
        <color auto="1"/>
      </left>
      <right/>
      <top/>
      <bottom style="double">
        <color theme="4" tint="-0.499984740745262"/>
      </bottom>
      <diagonal/>
    </border>
    <border>
      <left/>
      <right style="medium">
        <color auto="1"/>
      </right>
      <top style="medium">
        <color theme="4" tint="-0.499984740745262"/>
      </top>
      <bottom/>
      <diagonal/>
    </border>
    <border>
      <left style="thin">
        <color indexed="64"/>
      </left>
      <right style="thin">
        <color indexed="64"/>
      </right>
      <top style="thin">
        <color rgb="FFFFFFFF"/>
      </top>
      <bottom style="thin">
        <color indexed="64"/>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style="thin">
        <color rgb="FFFFFFFF"/>
      </left>
      <right style="thin">
        <color indexed="64"/>
      </right>
      <top/>
      <bottom style="thin">
        <color indexed="64"/>
      </bottom>
      <diagonal/>
    </border>
    <border>
      <left style="thin">
        <color indexed="64"/>
      </left>
      <right style="thin">
        <color indexed="64"/>
      </right>
      <top/>
      <bottom/>
      <diagonal/>
    </border>
  </borders>
  <cellStyleXfs count="24">
    <xf numFmtId="0" fontId="0" fillId="0" borderId="0"/>
    <xf numFmtId="164" fontId="3" fillId="0" borderId="0" applyFon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165" fontId="2" fillId="0" borderId="0" applyFon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164" fontId="1" fillId="0" borderId="0" applyFont="0" applyFill="0" applyBorder="0" applyAlignment="0" applyProtection="0"/>
  </cellStyleXfs>
  <cellXfs count="137">
    <xf numFmtId="0" fontId="0" fillId="0" borderId="0" xfId="0"/>
    <xf numFmtId="0" fontId="6" fillId="0" borderId="1" xfId="0" applyFont="1" applyBorder="1"/>
    <xf numFmtId="0" fontId="4" fillId="0" borderId="0" xfId="0" applyFont="1"/>
    <xf numFmtId="18" fontId="0" fillId="0" borderId="0" xfId="0" applyNumberFormat="1"/>
    <xf numFmtId="0" fontId="9" fillId="2" borderId="0" xfId="0" applyFont="1" applyFill="1"/>
    <xf numFmtId="0" fontId="11" fillId="0" borderId="0" xfId="0" applyFont="1"/>
    <xf numFmtId="0" fontId="12" fillId="0" borderId="0" xfId="0" applyFont="1"/>
    <xf numFmtId="168" fontId="6" fillId="0" borderId="2" xfId="0" applyNumberFormat="1" applyFont="1" applyBorder="1"/>
    <xf numFmtId="0" fontId="13" fillId="2" borderId="0" xfId="0" applyFont="1" applyFill="1"/>
    <xf numFmtId="0" fontId="15" fillId="4" borderId="0" xfId="0" applyFont="1" applyFill="1"/>
    <xf numFmtId="0" fontId="13" fillId="2" borderId="8" xfId="0" applyFont="1" applyFill="1" applyBorder="1"/>
    <xf numFmtId="0" fontId="11" fillId="0" borderId="0" xfId="0" applyFont="1" applyAlignment="1">
      <alignment vertical="center" wrapText="1"/>
    </xf>
    <xf numFmtId="0" fontId="16" fillId="0" borderId="0" xfId="0" applyFont="1"/>
    <xf numFmtId="0" fontId="13" fillId="2" borderId="5" xfId="0" applyFont="1" applyFill="1" applyBorder="1" applyAlignment="1">
      <alignment horizontal="center" vertical="center"/>
    </xf>
    <xf numFmtId="166" fontId="17" fillId="4" borderId="6" xfId="1" applyNumberFormat="1" applyFont="1" applyFill="1" applyBorder="1"/>
    <xf numFmtId="166" fontId="17" fillId="4" borderId="7" xfId="1" applyNumberFormat="1" applyFont="1" applyFill="1" applyBorder="1"/>
    <xf numFmtId="164" fontId="4" fillId="5" borderId="9" xfId="1" applyFont="1" applyFill="1" applyBorder="1"/>
    <xf numFmtId="167" fontId="4" fillId="4" borderId="0" xfId="13" applyNumberFormat="1" applyFont="1" applyFill="1" applyBorder="1"/>
    <xf numFmtId="169" fontId="10" fillId="3" borderId="10" xfId="12" applyNumberFormat="1" applyFont="1" applyFill="1" applyBorder="1"/>
    <xf numFmtId="169" fontId="0" fillId="6" borderId="12" xfId="12" applyNumberFormat="1" applyFont="1" applyFill="1" applyBorder="1"/>
    <xf numFmtId="169" fontId="10" fillId="3" borderId="11" xfId="12" applyNumberFormat="1" applyFont="1" applyFill="1" applyBorder="1"/>
    <xf numFmtId="169" fontId="0" fillId="6" borderId="13" xfId="12" applyNumberFormat="1" applyFont="1" applyFill="1" applyBorder="1"/>
    <xf numFmtId="170" fontId="0" fillId="6" borderId="0" xfId="12" applyNumberFormat="1" applyFont="1" applyFill="1" applyBorder="1"/>
    <xf numFmtId="169" fontId="0" fillId="6" borderId="0" xfId="12" applyNumberFormat="1" applyFont="1" applyFill="1" applyBorder="1"/>
    <xf numFmtId="169" fontId="0" fillId="6" borderId="12" xfId="12" applyNumberFormat="1" applyFont="1" applyFill="1" applyBorder="1" applyProtection="1"/>
    <xf numFmtId="169" fontId="0" fillId="6" borderId="13" xfId="12" applyNumberFormat="1" applyFont="1" applyFill="1" applyBorder="1" applyProtection="1"/>
    <xf numFmtId="0" fontId="13" fillId="2" borderId="14" xfId="0" applyFont="1" applyFill="1" applyBorder="1" applyAlignment="1">
      <alignment horizontal="center" vertical="center"/>
    </xf>
    <xf numFmtId="0" fontId="13" fillId="2" borderId="15" xfId="0" applyFont="1" applyFill="1" applyBorder="1" applyAlignment="1">
      <alignment horizontal="center" vertical="center"/>
    </xf>
    <xf numFmtId="0" fontId="13" fillId="2" borderId="16" xfId="0" applyFont="1" applyFill="1" applyBorder="1" applyAlignment="1">
      <alignment horizontal="center" vertical="center"/>
    </xf>
    <xf numFmtId="0" fontId="11" fillId="0" borderId="0" xfId="12" applyNumberFormat="1" applyFont="1" applyFill="1" applyBorder="1" applyAlignment="1">
      <alignment horizontal="left" vertical="top" wrapText="1"/>
    </xf>
    <xf numFmtId="0" fontId="6" fillId="0" borderId="17" xfId="0" applyFont="1" applyBorder="1"/>
    <xf numFmtId="0" fontId="5" fillId="0" borderId="17" xfId="0" applyFont="1" applyBorder="1"/>
    <xf numFmtId="171" fontId="0" fillId="6" borderId="3" xfId="12" applyNumberFormat="1" applyFont="1" applyFill="1" applyBorder="1"/>
    <xf numFmtId="0" fontId="11" fillId="0" borderId="3" xfId="0" applyFont="1" applyBorder="1" applyAlignment="1">
      <alignment vertical="center" wrapText="1"/>
    </xf>
    <xf numFmtId="0" fontId="0" fillId="0" borderId="0" xfId="0" applyAlignment="1">
      <alignment horizontal="left"/>
    </xf>
    <xf numFmtId="0" fontId="5" fillId="0" borderId="2" xfId="0" applyFont="1" applyBorder="1" applyAlignment="1">
      <alignment horizontal="left"/>
    </xf>
    <xf numFmtId="169" fontId="10" fillId="3" borderId="18" xfId="12" applyNumberFormat="1" applyFont="1" applyFill="1" applyBorder="1"/>
    <xf numFmtId="9" fontId="10" fillId="3" borderId="20" xfId="13" applyFont="1" applyFill="1" applyBorder="1"/>
    <xf numFmtId="0" fontId="11" fillId="0" borderId="0" xfId="12" applyNumberFormat="1" applyFont="1" applyFill="1" applyBorder="1" applyAlignment="1">
      <alignment vertical="top" wrapText="1"/>
    </xf>
    <xf numFmtId="0" fontId="11" fillId="0" borderId="21" xfId="12" applyNumberFormat="1" applyFont="1" applyFill="1" applyBorder="1" applyAlignment="1">
      <alignment vertical="top" wrapText="1"/>
    </xf>
    <xf numFmtId="0" fontId="11" fillId="0" borderId="21" xfId="0" applyFont="1" applyBorder="1"/>
    <xf numFmtId="0" fontId="16" fillId="0" borderId="21" xfId="0" applyFont="1" applyBorder="1"/>
    <xf numFmtId="0" fontId="7" fillId="0" borderId="21" xfId="22" applyFill="1" applyBorder="1" applyAlignment="1">
      <alignment vertical="center" wrapText="1"/>
    </xf>
    <xf numFmtId="171" fontId="13" fillId="2" borderId="23" xfId="12" applyNumberFormat="1" applyFont="1" applyFill="1" applyBorder="1" applyAlignment="1">
      <alignment horizontal="center"/>
    </xf>
    <xf numFmtId="0" fontId="13" fillId="2" borderId="23" xfId="0" applyFont="1" applyFill="1" applyBorder="1" applyAlignment="1">
      <alignment horizontal="center" wrapText="1"/>
    </xf>
    <xf numFmtId="0" fontId="0" fillId="0" borderId="0" xfId="0" applyAlignment="1">
      <alignment horizontal="center"/>
    </xf>
    <xf numFmtId="169" fontId="10" fillId="3" borderId="24" xfId="12" applyNumberFormat="1" applyFont="1" applyFill="1" applyBorder="1"/>
    <xf numFmtId="165" fontId="10" fillId="3" borderId="24" xfId="12" applyFont="1" applyFill="1" applyBorder="1"/>
    <xf numFmtId="169" fontId="10" fillId="3" borderId="24" xfId="12" applyNumberFormat="1" applyFont="1" applyFill="1" applyBorder="1" applyAlignment="1">
      <alignment horizontal="center"/>
    </xf>
    <xf numFmtId="0" fontId="4" fillId="0" borderId="0" xfId="0" applyFont="1" applyAlignment="1">
      <alignment horizontal="right" vertical="top"/>
    </xf>
    <xf numFmtId="165" fontId="10" fillId="0" borderId="0" xfId="12" applyFont="1" applyFill="1" applyBorder="1"/>
    <xf numFmtId="169" fontId="10" fillId="3" borderId="19" xfId="12" applyNumberFormat="1" applyFont="1" applyFill="1" applyBorder="1" applyAlignment="1">
      <alignment horizontal="left" vertical="top"/>
    </xf>
    <xf numFmtId="169" fontId="0" fillId="6" borderId="26" xfId="12" applyNumberFormat="1" applyFont="1" applyFill="1" applyBorder="1" applyProtection="1"/>
    <xf numFmtId="169" fontId="0" fillId="6" borderId="26" xfId="12" applyNumberFormat="1" applyFont="1" applyFill="1" applyBorder="1"/>
    <xf numFmtId="169" fontId="0" fillId="6" borderId="22" xfId="12" applyNumberFormat="1" applyFont="1" applyFill="1" applyBorder="1"/>
    <xf numFmtId="165" fontId="0" fillId="0" borderId="0" xfId="0" applyNumberFormat="1"/>
    <xf numFmtId="0" fontId="4" fillId="0" borderId="0" xfId="0" applyFont="1" applyAlignment="1">
      <alignment horizontal="left"/>
    </xf>
    <xf numFmtId="169" fontId="0" fillId="6" borderId="4" xfId="12" applyNumberFormat="1" applyFont="1" applyFill="1" applyBorder="1" applyProtection="1"/>
    <xf numFmtId="169" fontId="10" fillId="3" borderId="27" xfId="12" applyNumberFormat="1" applyFont="1" applyFill="1" applyBorder="1"/>
    <xf numFmtId="169" fontId="10" fillId="3" borderId="28" xfId="12" applyNumberFormat="1" applyFont="1" applyFill="1" applyBorder="1"/>
    <xf numFmtId="0" fontId="0" fillId="2" borderId="13" xfId="0" applyFill="1" applyBorder="1"/>
    <xf numFmtId="0" fontId="4" fillId="0" borderId="29" xfId="0" applyFont="1" applyBorder="1" applyAlignment="1">
      <alignment horizontal="left"/>
    </xf>
    <xf numFmtId="0" fontId="4" fillId="0" borderId="4" xfId="0" applyFont="1" applyBorder="1" applyAlignment="1">
      <alignment horizontal="left"/>
    </xf>
    <xf numFmtId="0" fontId="4" fillId="2" borderId="29" xfId="0" applyFont="1" applyFill="1" applyBorder="1" applyAlignment="1">
      <alignment horizontal="left"/>
    </xf>
    <xf numFmtId="0" fontId="4" fillId="0" borderId="29" xfId="0" applyFont="1" applyBorder="1"/>
    <xf numFmtId="0" fontId="13" fillId="2" borderId="29" xfId="0" applyFont="1" applyFill="1" applyBorder="1" applyAlignment="1">
      <alignment horizontal="left" vertical="center"/>
    </xf>
    <xf numFmtId="0" fontId="13" fillId="2" borderId="4" xfId="0" applyFont="1" applyFill="1" applyBorder="1" applyAlignment="1">
      <alignment horizontal="left" vertical="center"/>
    </xf>
    <xf numFmtId="0" fontId="4" fillId="0" borderId="30" xfId="0" applyFont="1" applyBorder="1"/>
    <xf numFmtId="0" fontId="4" fillId="0" borderId="4" xfId="0" applyFont="1" applyBorder="1"/>
    <xf numFmtId="0" fontId="4" fillId="0" borderId="25" xfId="0" applyFont="1" applyBorder="1" applyAlignment="1">
      <alignment horizontal="right"/>
    </xf>
    <xf numFmtId="0" fontId="4" fillId="0" borderId="25" xfId="0" applyFont="1" applyBorder="1" applyAlignment="1">
      <alignment horizontal="right" wrapText="1"/>
    </xf>
    <xf numFmtId="0" fontId="13" fillId="2" borderId="31" xfId="0" applyFont="1" applyFill="1" applyBorder="1"/>
    <xf numFmtId="0" fontId="6" fillId="0" borderId="1" xfId="0" applyFont="1" applyBorder="1" applyAlignment="1">
      <alignment horizontal="left"/>
    </xf>
    <xf numFmtId="0" fontId="0" fillId="0" borderId="17" xfId="0" applyBorder="1"/>
    <xf numFmtId="0" fontId="5" fillId="0" borderId="17" xfId="0" applyFont="1" applyBorder="1" applyAlignment="1">
      <alignment horizontal="center"/>
    </xf>
    <xf numFmtId="168" fontId="6" fillId="0" borderId="2" xfId="23" applyNumberFormat="1" applyFont="1" applyBorder="1"/>
    <xf numFmtId="171" fontId="0" fillId="6" borderId="0" xfId="12" applyNumberFormat="1" applyFont="1" applyFill="1" applyBorder="1"/>
    <xf numFmtId="0" fontId="6" fillId="8" borderId="32" xfId="0" applyFont="1" applyFill="1" applyBorder="1" applyAlignment="1">
      <alignment horizontal="left"/>
    </xf>
    <xf numFmtId="0" fontId="6" fillId="9" borderId="32" xfId="0" applyFont="1" applyFill="1" applyBorder="1"/>
    <xf numFmtId="0" fontId="6" fillId="8" borderId="32" xfId="0" applyFont="1" applyFill="1" applyBorder="1"/>
    <xf numFmtId="0" fontId="6" fillId="8" borderId="33" xfId="0" applyFont="1" applyFill="1" applyBorder="1"/>
    <xf numFmtId="0" fontId="6" fillId="9" borderId="33" xfId="0" applyFont="1" applyFill="1" applyBorder="1"/>
    <xf numFmtId="0" fontId="6" fillId="9" borderId="34" xfId="0" applyFont="1" applyFill="1" applyBorder="1"/>
    <xf numFmtId="0" fontId="6" fillId="8" borderId="34" xfId="0" applyFont="1" applyFill="1" applyBorder="1"/>
    <xf numFmtId="0" fontId="6" fillId="9" borderId="35" xfId="0" applyFont="1" applyFill="1" applyBorder="1"/>
    <xf numFmtId="0" fontId="6" fillId="9" borderId="36" xfId="0" applyFont="1" applyFill="1" applyBorder="1"/>
    <xf numFmtId="0" fontId="5" fillId="7" borderId="2" xfId="0" applyFont="1" applyFill="1" applyBorder="1" applyAlignment="1">
      <alignment horizontal="left"/>
    </xf>
    <xf numFmtId="0" fontId="5" fillId="7" borderId="37" xfId="0" applyFont="1" applyFill="1" applyBorder="1" applyAlignment="1">
      <alignment horizontal="left"/>
    </xf>
    <xf numFmtId="168" fontId="0" fillId="0" borderId="2" xfId="0" applyNumberFormat="1" applyBorder="1"/>
    <xf numFmtId="0" fontId="0" fillId="0" borderId="1" xfId="0" applyBorder="1"/>
    <xf numFmtId="168" fontId="0" fillId="0" borderId="2" xfId="23" applyNumberFormat="1" applyFont="1" applyBorder="1"/>
    <xf numFmtId="0" fontId="11" fillId="0" borderId="0" xfId="0" applyFont="1" applyAlignment="1">
      <alignment horizontal="left" vertical="top" wrapText="1"/>
    </xf>
    <xf numFmtId="0" fontId="24" fillId="0" borderId="0" xfId="0" applyFont="1"/>
    <xf numFmtId="0" fontId="7" fillId="0" borderId="0" xfId="22"/>
    <xf numFmtId="0" fontId="6" fillId="9" borderId="38" xfId="0" applyFont="1" applyFill="1" applyBorder="1"/>
    <xf numFmtId="0" fontId="6" fillId="9" borderId="1" xfId="0" applyFont="1" applyFill="1" applyBorder="1"/>
    <xf numFmtId="0" fontId="7" fillId="0" borderId="0" xfId="22" applyFill="1" applyAlignment="1">
      <alignment horizontal="left"/>
    </xf>
    <xf numFmtId="0" fontId="0" fillId="0" borderId="0" xfId="0" applyAlignment="1">
      <alignment horizontal="left" vertical="center" wrapText="1"/>
    </xf>
    <xf numFmtId="0" fontId="25" fillId="8" borderId="1" xfId="0" applyFont="1" applyFill="1" applyBorder="1" applyAlignment="1">
      <alignment horizontal="left"/>
    </xf>
    <xf numFmtId="0" fontId="25" fillId="9" borderId="32" xfId="0" applyFont="1" applyFill="1" applyBorder="1"/>
    <xf numFmtId="0" fontId="25" fillId="8" borderId="32" xfId="0" applyFont="1" applyFill="1" applyBorder="1"/>
    <xf numFmtId="0" fontId="25" fillId="0" borderId="38" xfId="0" applyFont="1" applyBorder="1"/>
    <xf numFmtId="0" fontId="26" fillId="0" borderId="2" xfId="0" applyFont="1" applyBorder="1" applyAlignment="1">
      <alignment horizontal="left"/>
    </xf>
    <xf numFmtId="0" fontId="0" fillId="0" borderId="0" xfId="0" applyAlignment="1">
      <alignment horizontal="center" vertical="center"/>
    </xf>
    <xf numFmtId="0" fontId="13" fillId="10" borderId="17" xfId="0" applyFont="1" applyFill="1" applyBorder="1" applyAlignment="1">
      <alignment horizontal="center" vertical="center"/>
    </xf>
    <xf numFmtId="0" fontId="0" fillId="11" borderId="17" xfId="0" applyFill="1" applyBorder="1" applyAlignment="1">
      <alignment horizontal="center" vertical="center"/>
    </xf>
    <xf numFmtId="172" fontId="0" fillId="11" borderId="17" xfId="0" applyNumberFormat="1" applyFill="1" applyBorder="1" applyAlignment="1">
      <alignment horizontal="center" vertical="center"/>
    </xf>
    <xf numFmtId="0" fontId="28" fillId="0" borderId="0" xfId="0" applyFont="1" applyAlignment="1">
      <alignment horizontal="center" vertical="center"/>
    </xf>
    <xf numFmtId="0" fontId="27" fillId="10" borderId="17" xfId="0" applyFont="1" applyFill="1" applyBorder="1" applyAlignment="1">
      <alignment horizontal="center" vertical="center"/>
    </xf>
    <xf numFmtId="0" fontId="28" fillId="11" borderId="17" xfId="0" applyFont="1" applyFill="1" applyBorder="1" applyAlignment="1">
      <alignment horizontal="center" vertical="center"/>
    </xf>
    <xf numFmtId="0" fontId="27" fillId="10" borderId="17" xfId="0" applyFont="1" applyFill="1" applyBorder="1" applyAlignment="1">
      <alignment horizontal="center" vertical="center" wrapText="1"/>
    </xf>
    <xf numFmtId="0" fontId="7" fillId="0" borderId="0" xfId="22" applyFill="1" applyBorder="1" applyAlignment="1">
      <alignment vertical="center" wrapText="1"/>
    </xf>
    <xf numFmtId="0" fontId="13" fillId="2" borderId="0" xfId="0" applyFont="1" applyFill="1" applyAlignment="1">
      <alignment horizontal="center" vertical="center" wrapText="1"/>
    </xf>
    <xf numFmtId="0" fontId="13" fillId="2" borderId="0" xfId="0" applyFont="1" applyFill="1" applyAlignment="1">
      <alignment horizontal="center" wrapText="1"/>
    </xf>
    <xf numFmtId="0" fontId="13" fillId="2" borderId="0" xfId="0" applyFont="1" applyFill="1" applyAlignment="1">
      <alignment horizontal="center" vertical="center"/>
    </xf>
    <xf numFmtId="166" fontId="17" fillId="4" borderId="0" xfId="1" applyNumberFormat="1" applyFont="1" applyFill="1" applyBorder="1"/>
    <xf numFmtId="164" fontId="4" fillId="5" borderId="0" xfId="1" applyFont="1" applyFill="1" applyBorder="1"/>
    <xf numFmtId="0" fontId="13" fillId="0" borderId="0" xfId="0" applyFont="1"/>
    <xf numFmtId="0" fontId="7" fillId="0" borderId="0" xfId="22" applyFill="1"/>
    <xf numFmtId="0" fontId="15" fillId="0" borderId="0" xfId="0" applyFont="1"/>
    <xf numFmtId="0" fontId="13" fillId="0" borderId="0" xfId="0" applyFont="1" applyAlignment="1">
      <alignment horizontal="center" vertical="center" wrapText="1"/>
    </xf>
    <xf numFmtId="0" fontId="13" fillId="0" borderId="0" xfId="0" applyFont="1" applyAlignment="1">
      <alignment horizontal="center" wrapText="1"/>
    </xf>
    <xf numFmtId="169" fontId="0" fillId="0" borderId="0" xfId="12" applyNumberFormat="1" applyFont="1" applyFill="1" applyBorder="1"/>
    <xf numFmtId="0" fontId="13" fillId="0" borderId="0" xfId="0" applyFont="1" applyAlignment="1">
      <alignment horizontal="center" vertical="center"/>
    </xf>
    <xf numFmtId="166" fontId="17" fillId="0" borderId="0" xfId="1" applyNumberFormat="1" applyFont="1" applyFill="1" applyBorder="1"/>
    <xf numFmtId="164" fontId="4" fillId="0" borderId="0" xfId="1" applyFont="1" applyFill="1" applyBorder="1"/>
    <xf numFmtId="0" fontId="7" fillId="0" borderId="0" xfId="22" applyFill="1" applyAlignment="1">
      <alignment horizontal="left"/>
    </xf>
    <xf numFmtId="0" fontId="7" fillId="0" borderId="0" xfId="22" applyAlignment="1"/>
    <xf numFmtId="0" fontId="11" fillId="0" borderId="0" xfId="12" applyNumberFormat="1" applyFont="1" applyFill="1" applyBorder="1" applyAlignment="1">
      <alignment horizontal="left" vertical="top" wrapText="1"/>
    </xf>
    <xf numFmtId="0" fontId="0" fillId="0" borderId="0" xfId="0" applyAlignment="1">
      <alignment horizontal="left" vertical="center" wrapText="1"/>
    </xf>
    <xf numFmtId="0" fontId="13" fillId="2" borderId="4" xfId="0" applyFont="1" applyFill="1" applyBorder="1" applyAlignment="1">
      <alignment horizontal="center" vertical="center" wrapText="1"/>
    </xf>
    <xf numFmtId="0" fontId="13" fillId="2" borderId="26" xfId="0" applyFont="1" applyFill="1" applyBorder="1" applyAlignment="1">
      <alignment horizontal="center" vertical="center" wrapText="1"/>
    </xf>
    <xf numFmtId="0" fontId="4" fillId="0" borderId="0" xfId="0" applyFont="1" applyAlignment="1">
      <alignment horizontal="right" vertical="top"/>
    </xf>
    <xf numFmtId="0" fontId="4" fillId="0" borderId="0" xfId="0" applyFont="1" applyAlignment="1">
      <alignment horizontal="right"/>
    </xf>
    <xf numFmtId="0" fontId="4" fillId="0" borderId="25" xfId="0" applyFont="1" applyBorder="1" applyAlignment="1">
      <alignment horizontal="right"/>
    </xf>
    <xf numFmtId="0" fontId="4" fillId="5" borderId="17" xfId="0" applyFont="1" applyFill="1" applyBorder="1" applyAlignment="1">
      <alignment horizontal="center" vertical="center"/>
    </xf>
    <xf numFmtId="0" fontId="28" fillId="5" borderId="17" xfId="0" applyFont="1" applyFill="1" applyBorder="1" applyAlignment="1">
      <alignment horizontal="center" vertical="center"/>
    </xf>
  </cellXfs>
  <cellStyles count="24">
    <cellStyle name="Comma" xfId="12" builtinId="3"/>
    <cellStyle name="Currency" xfId="1" builtinId="4"/>
    <cellStyle name="Currency 2" xfId="23" xr:uid="{00000000-0005-0000-0000-000002000000}"/>
    <cellStyle name="Followed Hyperlink" xfId="11" builtinId="9" hidden="1"/>
    <cellStyle name="Followed Hyperlink" xfId="17" builtinId="9" hidden="1"/>
    <cellStyle name="Followed Hyperlink" xfId="19" builtinId="9" hidden="1"/>
    <cellStyle name="Followed Hyperlink" xfId="21" builtinId="9" hidden="1"/>
    <cellStyle name="Followed Hyperlink" xfId="15" builtinId="9" hidden="1"/>
    <cellStyle name="Followed Hyperlink" xfId="7" builtinId="9" hidden="1"/>
    <cellStyle name="Followed Hyperlink" xfId="9" builtinId="9" hidden="1"/>
    <cellStyle name="Followed Hyperlink" xfId="5" builtinId="9" hidden="1"/>
    <cellStyle name="Followed Hyperlink" xfId="3" builtinId="9" hidden="1"/>
    <cellStyle name="Hyperlink" xfId="18" builtinId="8" hidden="1"/>
    <cellStyle name="Hyperlink" xfId="20" builtinId="8" hidden="1"/>
    <cellStyle name="Hyperlink" xfId="16" builtinId="8" hidden="1"/>
    <cellStyle name="Hyperlink" xfId="8" builtinId="8" hidden="1"/>
    <cellStyle name="Hyperlink" xfId="10" builtinId="8" hidden="1"/>
    <cellStyle name="Hyperlink" xfId="14" builtinId="8" hidden="1"/>
    <cellStyle name="Hyperlink" xfId="4" builtinId="8" hidden="1"/>
    <cellStyle name="Hyperlink" xfId="6" builtinId="8" hidden="1"/>
    <cellStyle name="Hyperlink" xfId="2" builtinId="8" hidden="1"/>
    <cellStyle name="Hyperlink" xfId="22" builtinId="8"/>
    <cellStyle name="Normal" xfId="0" builtinId="0"/>
    <cellStyle name="Percent" xfId="13" builtinId="5"/>
  </cellStyles>
  <dxfs count="33">
    <dxf>
      <font>
        <b val="0"/>
        <i val="0"/>
        <strike val="0"/>
        <condense val="0"/>
        <extend val="0"/>
        <outline val="0"/>
        <shadow val="0"/>
        <u val="none"/>
        <vertAlign val="baseline"/>
        <sz val="12"/>
        <color rgb="FF000000"/>
        <name val="Calibri"/>
        <scheme val="minor"/>
      </font>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2"/>
        <color rgb="FF000000"/>
        <name val="Calibri"/>
        <scheme val="minor"/>
      </font>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2"/>
        <color rgb="FF000000"/>
        <name val="Calibri"/>
        <scheme val="minor"/>
      </font>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2"/>
        <color rgb="FF000000"/>
        <name val="Calibri"/>
        <scheme val="minor"/>
      </font>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2"/>
        <color rgb="FF000000"/>
        <name val="Calibri"/>
        <scheme val="minor"/>
      </font>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2"/>
        <color rgb="FF000000"/>
        <name val="Calibri"/>
        <family val="2"/>
        <scheme val="minor"/>
      </font>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2"/>
        <color rgb="FF000000"/>
        <name val="Calibri"/>
        <scheme val="minor"/>
      </font>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2"/>
        <color rgb="FF000000"/>
        <name val="Calibri"/>
        <scheme val="minor"/>
      </font>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2"/>
        <color rgb="FF000000"/>
        <name val="Calibri"/>
        <family val="2"/>
        <scheme val="minor"/>
      </font>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2"/>
        <color rgb="FF000000"/>
        <name val="Calibri"/>
        <family val="2"/>
        <scheme val="minor"/>
      </font>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2"/>
        <color rgb="FF000000"/>
        <name val="Calibri"/>
        <scheme val="minor"/>
      </font>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2"/>
        <color rgb="FF000000"/>
        <name val="Calibri"/>
        <scheme val="minor"/>
      </font>
      <border diagonalUp="0" diagonalDown="0">
        <left style="thin">
          <color auto="1"/>
        </left>
        <right style="thin">
          <color auto="1"/>
        </right>
        <top/>
        <bottom style="thin">
          <color auto="1"/>
        </bottom>
        <vertical/>
        <horizontal/>
      </border>
    </dxf>
    <dxf>
      <border outline="0">
        <top style="thin">
          <color auto="1"/>
        </top>
      </border>
    </dxf>
    <dxf>
      <font>
        <b val="0"/>
        <i val="0"/>
        <strike val="0"/>
        <condense val="0"/>
        <extend val="0"/>
        <outline val="0"/>
        <shadow val="0"/>
        <u val="none"/>
        <vertAlign val="baseline"/>
        <sz val="12"/>
        <color rgb="FF000000"/>
        <name val="Calibri"/>
        <scheme val="minor"/>
      </font>
    </dxf>
    <dxf>
      <border outline="0">
        <bottom style="thin">
          <color auto="1"/>
        </bottom>
      </border>
    </dxf>
    <dxf>
      <font>
        <b/>
        <i val="0"/>
        <strike val="0"/>
        <condense val="0"/>
        <extend val="0"/>
        <outline val="0"/>
        <shadow val="0"/>
        <u val="none"/>
        <vertAlign val="baseline"/>
        <sz val="12"/>
        <color rgb="FF000000"/>
        <name val="Calibri"/>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fill>
        <patternFill patternType="solid">
          <fgColor rgb="FFD9E1F2"/>
          <bgColor rgb="FFD9E1F2"/>
        </patternFill>
      </fill>
      <border diagonalUp="0" diagonalDown="0">
        <left style="thin">
          <color rgb="FFFFFFFF"/>
        </left>
        <right/>
        <top style="thin">
          <color rgb="FFFFFFFF"/>
        </top>
        <bottom style="thin">
          <color rgb="FFFFFFFF"/>
        </bottom>
        <vertical/>
        <horizontal/>
      </border>
    </dxf>
    <dxf>
      <font>
        <b val="0"/>
        <i val="0"/>
        <strike val="0"/>
        <condense val="0"/>
        <extend val="0"/>
        <outline val="0"/>
        <shadow val="0"/>
        <u val="none"/>
        <vertAlign val="baseline"/>
        <sz val="12"/>
        <color rgb="FF000000"/>
        <name val="Calibri"/>
        <family val="2"/>
        <scheme val="minor"/>
      </font>
      <fill>
        <patternFill patternType="solid">
          <fgColor rgb="FFD9E1F2"/>
          <bgColor rgb="FFD9E1F2"/>
        </patternFill>
      </fill>
      <border diagonalUp="0" diagonalDown="0">
        <left style="thin">
          <color indexed="64"/>
        </left>
        <right style="thin">
          <color indexed="64"/>
        </right>
        <top style="thin">
          <color rgb="FFFFFFFF"/>
        </top>
        <bottom style="thin">
          <color indexed="64"/>
        </bottom>
        <vertical/>
        <horizontal/>
      </border>
    </dxf>
    <dxf>
      <font>
        <b val="0"/>
        <i val="0"/>
        <strike val="0"/>
        <condense val="0"/>
        <extend val="0"/>
        <outline val="0"/>
        <shadow val="0"/>
        <u val="none"/>
        <vertAlign val="baseline"/>
        <sz val="12"/>
        <color rgb="FF000000"/>
        <name val="Calibri"/>
        <family val="2"/>
        <scheme val="minor"/>
      </font>
      <fill>
        <patternFill patternType="solid">
          <fgColor rgb="FFD9E1F2"/>
          <bgColor rgb="FFD9E1F2"/>
        </patternFill>
      </fill>
      <border diagonalUp="0" diagonalDown="0">
        <left style="thin">
          <color indexed="64"/>
        </left>
        <right style="thin">
          <color indexed="64"/>
        </right>
        <top style="thin">
          <color rgb="FFFFFFFF"/>
        </top>
        <bottom style="thin">
          <color indexed="64"/>
        </bottom>
        <vertical/>
        <horizontal/>
      </border>
    </dxf>
    <dxf>
      <font>
        <b val="0"/>
        <i val="0"/>
        <strike val="0"/>
        <condense val="0"/>
        <extend val="0"/>
        <outline val="0"/>
        <shadow val="0"/>
        <u val="none"/>
        <vertAlign val="baseline"/>
        <sz val="12"/>
        <color rgb="FF000000"/>
        <name val="Calibri"/>
        <family val="2"/>
        <scheme val="minor"/>
      </font>
      <fill>
        <patternFill patternType="solid">
          <fgColor rgb="FFD9E1F2"/>
          <bgColor rgb="FFD9E1F2"/>
        </patternFill>
      </fill>
      <border diagonalUp="0" diagonalDown="0">
        <left style="thin">
          <color indexed="64"/>
        </left>
        <right style="thin">
          <color indexed="64"/>
        </right>
        <top style="thin">
          <color rgb="FFFFFFFF"/>
        </top>
        <bottom style="thin">
          <color indexed="64"/>
        </bottom>
        <vertical/>
        <horizontal/>
      </border>
    </dxf>
    <dxf>
      <font>
        <b val="0"/>
        <i val="0"/>
        <strike val="0"/>
        <condense val="0"/>
        <extend val="0"/>
        <outline val="0"/>
        <shadow val="0"/>
        <u val="none"/>
        <vertAlign val="baseline"/>
        <sz val="12"/>
        <color rgb="FF000000"/>
        <name val="Calibri"/>
        <family val="2"/>
        <scheme val="minor"/>
      </font>
      <fill>
        <patternFill patternType="solid">
          <fgColor rgb="FFD9E1F2"/>
          <bgColor rgb="FFD9E1F2"/>
        </patternFill>
      </fill>
      <border diagonalUp="0" diagonalDown="0">
        <left style="thin">
          <color indexed="64"/>
        </left>
        <right style="thin">
          <color indexed="64"/>
        </right>
        <top style="thin">
          <color rgb="FFFFFFFF"/>
        </top>
        <bottom style="thin">
          <color indexed="64"/>
        </bottom>
        <vertical/>
        <horizontal/>
      </border>
    </dxf>
    <dxf>
      <font>
        <b val="0"/>
        <i val="0"/>
        <strike val="0"/>
        <condense val="0"/>
        <extend val="0"/>
        <outline val="0"/>
        <shadow val="0"/>
        <u val="none"/>
        <vertAlign val="baseline"/>
        <sz val="12"/>
        <color rgb="FF000000"/>
        <name val="Calibri"/>
        <family val="2"/>
        <scheme val="minor"/>
      </font>
      <fill>
        <patternFill patternType="solid">
          <fgColor rgb="FFD9E1F2"/>
          <bgColor rgb="FFD9E1F2"/>
        </patternFill>
      </fill>
      <border diagonalUp="0" diagonalDown="0">
        <left style="thin">
          <color indexed="64"/>
        </left>
        <right style="thin">
          <color indexed="64"/>
        </right>
        <top style="thin">
          <color rgb="FFFFFFFF"/>
        </top>
        <bottom style="thin">
          <color indexed="64"/>
        </bottom>
        <vertical/>
        <horizontal/>
      </border>
    </dxf>
    <dxf>
      <font>
        <b val="0"/>
        <i val="0"/>
        <strike val="0"/>
        <condense val="0"/>
        <extend val="0"/>
        <outline val="0"/>
        <shadow val="0"/>
        <u val="none"/>
        <vertAlign val="baseline"/>
        <sz val="12"/>
        <color rgb="FF000000"/>
        <name val="Calibri"/>
        <family val="2"/>
        <scheme val="minor"/>
      </font>
      <fill>
        <patternFill patternType="solid">
          <fgColor rgb="FFD9E1F2"/>
          <bgColor rgb="FFD9E1F2"/>
        </patternFill>
      </fill>
      <border diagonalUp="0" diagonalDown="0">
        <left style="thin">
          <color indexed="64"/>
        </left>
        <right style="thin">
          <color indexed="64"/>
        </right>
        <top style="thin">
          <color rgb="FFFFFFFF"/>
        </top>
        <bottom style="thin">
          <color indexed="64"/>
        </bottom>
        <vertical/>
        <horizontal/>
      </border>
    </dxf>
    <dxf>
      <font>
        <b val="0"/>
        <i val="0"/>
        <strike val="0"/>
        <condense val="0"/>
        <extend val="0"/>
        <outline val="0"/>
        <shadow val="0"/>
        <u val="none"/>
        <vertAlign val="baseline"/>
        <sz val="12"/>
        <color rgb="FF000000"/>
        <name val="Calibri"/>
        <family val="2"/>
        <scheme val="minor"/>
      </font>
      <fill>
        <patternFill patternType="solid">
          <fgColor rgb="FFD9E1F2"/>
          <bgColor rgb="FFD9E1F2"/>
        </patternFill>
      </fill>
      <border diagonalUp="0" diagonalDown="0">
        <left style="thin">
          <color indexed="64"/>
        </left>
        <right style="thin">
          <color indexed="64"/>
        </right>
        <top style="thin">
          <color rgb="FFFFFFFF"/>
        </top>
        <bottom style="thin">
          <color indexed="64"/>
        </bottom>
        <vertical/>
        <horizontal/>
      </border>
    </dxf>
    <dxf>
      <font>
        <b val="0"/>
        <i val="0"/>
        <strike val="0"/>
        <condense val="0"/>
        <extend val="0"/>
        <outline val="0"/>
        <shadow val="0"/>
        <u val="none"/>
        <vertAlign val="baseline"/>
        <sz val="12"/>
        <color rgb="FF000000"/>
        <name val="Calibri"/>
        <family val="2"/>
        <scheme val="minor"/>
      </font>
      <fill>
        <patternFill patternType="solid">
          <fgColor rgb="FFD9E1F2"/>
          <bgColor rgb="FFD9E1F2"/>
        </patternFill>
      </fill>
      <border diagonalUp="0" diagonalDown="0">
        <left style="thin">
          <color indexed="64"/>
        </left>
        <right style="thin">
          <color indexed="64"/>
        </right>
        <top style="thin">
          <color rgb="FFFFFFFF"/>
        </top>
        <bottom style="thin">
          <color indexed="64"/>
        </bottom>
        <vertical/>
        <horizontal/>
      </border>
    </dxf>
    <dxf>
      <font>
        <b val="0"/>
        <i val="0"/>
        <strike val="0"/>
        <condense val="0"/>
        <extend val="0"/>
        <outline val="0"/>
        <shadow val="0"/>
        <u val="none"/>
        <vertAlign val="baseline"/>
        <sz val="12"/>
        <color rgb="FF000000"/>
        <name val="Calibri"/>
        <family val="2"/>
        <scheme val="minor"/>
      </font>
      <fill>
        <patternFill patternType="solid">
          <fgColor rgb="FFD9E1F2"/>
          <bgColor rgb="FFD9E1F2"/>
        </patternFill>
      </fill>
      <border diagonalUp="0" diagonalDown="0">
        <left style="thin">
          <color indexed="64"/>
        </left>
        <right style="thin">
          <color indexed="64"/>
        </right>
        <top style="thin">
          <color rgb="FFFFFFFF"/>
        </top>
        <bottom style="thin">
          <color indexed="64"/>
        </bottom>
        <vertical/>
        <horizontal/>
      </border>
    </dxf>
    <dxf>
      <font>
        <b val="0"/>
        <i val="0"/>
        <strike val="0"/>
        <condense val="0"/>
        <extend val="0"/>
        <outline val="0"/>
        <shadow val="0"/>
        <u val="none"/>
        <vertAlign val="baseline"/>
        <sz val="12"/>
        <color rgb="FF000000"/>
        <name val="Calibri"/>
        <family val="2"/>
        <scheme val="minor"/>
      </font>
      <fill>
        <patternFill patternType="solid">
          <fgColor rgb="FFD9E1F2"/>
          <bgColor rgb="FFD9E1F2"/>
        </patternFill>
      </fill>
      <border diagonalUp="0" diagonalDown="0">
        <left style="thin">
          <color indexed="64"/>
        </left>
        <right style="thin">
          <color indexed="64"/>
        </right>
        <top style="thin">
          <color rgb="FFFFFFFF"/>
        </top>
        <bottom style="thin">
          <color indexed="64"/>
        </bottom>
        <vertical/>
        <horizontal/>
      </border>
    </dxf>
    <dxf>
      <font>
        <b val="0"/>
        <i val="0"/>
        <strike val="0"/>
        <condense val="0"/>
        <extend val="0"/>
        <outline val="0"/>
        <shadow val="0"/>
        <u val="none"/>
        <vertAlign val="baseline"/>
        <sz val="12"/>
        <color rgb="FF000000"/>
        <name val="Calibri"/>
        <family val="2"/>
        <scheme val="minor"/>
      </font>
      <fill>
        <patternFill patternType="solid">
          <fgColor rgb="FFD9E1F2"/>
          <bgColor rgb="FFD9E1F2"/>
        </patternFill>
      </fill>
      <border diagonalUp="0" diagonalDown="0">
        <left style="thin">
          <color indexed="64"/>
        </left>
        <right style="thin">
          <color indexed="64"/>
        </right>
        <top style="thin">
          <color rgb="FFFFFFFF"/>
        </top>
        <bottom style="thin">
          <color indexed="64"/>
        </bottom>
        <vertical/>
        <horizontal/>
      </border>
    </dxf>
    <dxf>
      <border outline="0">
        <top style="thin">
          <color rgb="FFFFFFFF"/>
        </top>
      </border>
    </dxf>
    <dxf>
      <border outline="0">
        <top style="thin">
          <color indexed="64"/>
        </top>
      </border>
    </dxf>
    <dxf>
      <font>
        <b val="0"/>
        <i val="0"/>
        <strike val="0"/>
        <condense val="0"/>
        <extend val="0"/>
        <outline val="0"/>
        <shadow val="0"/>
        <u val="none"/>
        <vertAlign val="baseline"/>
        <sz val="12"/>
        <color rgb="FF000000"/>
        <name val="Calibri"/>
        <family val="2"/>
        <scheme val="minor"/>
      </font>
      <fill>
        <patternFill patternType="solid">
          <fgColor rgb="FFD9E1F2"/>
          <bgColor rgb="FFD9E1F2"/>
        </patternFill>
      </fill>
    </dxf>
    <dxf>
      <border outline="0">
        <bottom style="thin">
          <color indexed="64"/>
        </bottom>
      </border>
    </dxf>
    <dxf>
      <font>
        <b/>
        <i val="0"/>
        <strike val="0"/>
        <condense val="0"/>
        <extend val="0"/>
        <outline val="0"/>
        <shadow val="0"/>
        <u val="none"/>
        <vertAlign val="baseline"/>
        <sz val="12"/>
        <color rgb="FF000000"/>
        <name val="Calibri"/>
        <family val="2"/>
        <scheme val="minor"/>
      </font>
      <fill>
        <patternFill patternType="solid">
          <fgColor rgb="FF4472C4"/>
          <bgColor rgb="FF4472C4"/>
        </patternFill>
      </fill>
      <alignment horizontal="left" vertical="bottom" textRotation="0" wrapText="0" indent="0" justifyLastLine="0" shrinkToFit="0" readingOrder="0"/>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Concurrent Users During Weekday Hours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6556084335611899E-2"/>
          <c:y val="0.11039519490803686"/>
          <c:w val="0.93467965927621666"/>
          <c:h val="0.76234124580581264"/>
        </c:manualLayout>
      </c:layout>
      <c:lineChart>
        <c:grouping val="standard"/>
        <c:varyColors val="0"/>
        <c:ser>
          <c:idx val="0"/>
          <c:order val="0"/>
          <c:tx>
            <c:strRef>
              <c:f>'Usage Pattern'!$C$6</c:f>
              <c:strCache>
                <c:ptCount val="1"/>
                <c:pt idx="0">
                  <c:v>Concurrent Users in each hour</c:v>
                </c:pt>
              </c:strCache>
            </c:strRef>
          </c:tx>
          <c:spPr>
            <a:ln w="28575" cap="rnd">
              <a:solidFill>
                <a:schemeClr val="accent1"/>
              </a:solidFill>
              <a:round/>
            </a:ln>
            <a:effectLst/>
          </c:spPr>
          <c:marker>
            <c:symbol val="none"/>
          </c:marker>
          <c:cat>
            <c:numRef>
              <c:f>'Usage Pattern'!$B$7:$B$30</c:f>
              <c:numCache>
                <c:formatCode>h:mm\ AM/PM</c:formatCode>
                <c:ptCount val="24"/>
                <c:pt idx="0">
                  <c:v>0.29166666666666669</c:v>
                </c:pt>
                <c:pt idx="1">
                  <c:v>0.33333333333333331</c:v>
                </c:pt>
                <c:pt idx="2">
                  <c:v>0.375</c:v>
                </c:pt>
                <c:pt idx="3">
                  <c:v>0.41666666666666702</c:v>
                </c:pt>
                <c:pt idx="4">
                  <c:v>0.45833333333333398</c:v>
                </c:pt>
                <c:pt idx="5">
                  <c:v>0.5</c:v>
                </c:pt>
                <c:pt idx="6">
                  <c:v>0.54166666666666696</c:v>
                </c:pt>
                <c:pt idx="7">
                  <c:v>0.58333333333333304</c:v>
                </c:pt>
                <c:pt idx="8">
                  <c:v>0.625</c:v>
                </c:pt>
                <c:pt idx="9">
                  <c:v>0.66666666666666696</c:v>
                </c:pt>
                <c:pt idx="10">
                  <c:v>0.70833333333333304</c:v>
                </c:pt>
                <c:pt idx="11">
                  <c:v>0.75</c:v>
                </c:pt>
                <c:pt idx="12">
                  <c:v>0.79166666666666696</c:v>
                </c:pt>
                <c:pt idx="13">
                  <c:v>0.83333333333333304</c:v>
                </c:pt>
                <c:pt idx="14">
                  <c:v>0.875</c:v>
                </c:pt>
                <c:pt idx="15">
                  <c:v>0.91666666666666596</c:v>
                </c:pt>
                <c:pt idx="16">
                  <c:v>0.95833333333333304</c:v>
                </c:pt>
                <c:pt idx="17">
                  <c:v>1</c:v>
                </c:pt>
                <c:pt idx="18">
                  <c:v>1.0416666666666701</c:v>
                </c:pt>
                <c:pt idx="19">
                  <c:v>1.0833333333333299</c:v>
                </c:pt>
                <c:pt idx="20">
                  <c:v>1.125</c:v>
                </c:pt>
                <c:pt idx="21">
                  <c:v>1.1666666666666701</c:v>
                </c:pt>
                <c:pt idx="22">
                  <c:v>1.2083333333333299</c:v>
                </c:pt>
                <c:pt idx="23">
                  <c:v>1.25</c:v>
                </c:pt>
              </c:numCache>
            </c:numRef>
          </c:cat>
          <c:val>
            <c:numRef>
              <c:f>'Usage Pattern'!$C$7:$C$30</c:f>
              <c:numCache>
                <c:formatCode>_(* #,##0_);_(* \(#,##0\);_(* "-"??_);_(@_)</c:formatCode>
                <c:ptCount val="24"/>
                <c:pt idx="0">
                  <c:v>10</c:v>
                </c:pt>
                <c:pt idx="1">
                  <c:v>10</c:v>
                </c:pt>
                <c:pt idx="2">
                  <c:v>10</c:v>
                </c:pt>
                <c:pt idx="3">
                  <c:v>10</c:v>
                </c:pt>
                <c:pt idx="4">
                  <c:v>10</c:v>
                </c:pt>
                <c:pt idx="5">
                  <c:v>10</c:v>
                </c:pt>
                <c:pt idx="6">
                  <c:v>10</c:v>
                </c:pt>
                <c:pt idx="7">
                  <c:v>10</c:v>
                </c:pt>
                <c:pt idx="8">
                  <c:v>10</c:v>
                </c:pt>
                <c:pt idx="9">
                  <c:v>10</c:v>
                </c:pt>
                <c:pt idx="10">
                  <c:v>10</c:v>
                </c:pt>
                <c:pt idx="11">
                  <c:v>10</c:v>
                </c:pt>
                <c:pt idx="12">
                  <c:v>10</c:v>
                </c:pt>
                <c:pt idx="13">
                  <c:v>10</c:v>
                </c:pt>
                <c:pt idx="14">
                  <c:v>10</c:v>
                </c:pt>
                <c:pt idx="15">
                  <c:v>10</c:v>
                </c:pt>
                <c:pt idx="16">
                  <c:v>10</c:v>
                </c:pt>
                <c:pt idx="17">
                  <c:v>10</c:v>
                </c:pt>
              </c:numCache>
            </c:numRef>
          </c:val>
          <c:smooth val="0"/>
          <c:extLst>
            <c:ext xmlns:c16="http://schemas.microsoft.com/office/drawing/2014/chart" uri="{C3380CC4-5D6E-409C-BE32-E72D297353CC}">
              <c16:uniqueId val="{00000000-F598-4928-80DC-8F2B139341C0}"/>
            </c:ext>
          </c:extLst>
        </c:ser>
        <c:dLbls>
          <c:showLegendKey val="0"/>
          <c:showVal val="0"/>
          <c:showCatName val="0"/>
          <c:showSerName val="0"/>
          <c:showPercent val="0"/>
          <c:showBubbleSize val="0"/>
        </c:dLbls>
        <c:smooth val="0"/>
        <c:axId val="582243512"/>
        <c:axId val="582253704"/>
      </c:lineChart>
      <c:catAx>
        <c:axId val="582243512"/>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Time</a:t>
                </a:r>
                <a:r>
                  <a:rPr lang="en-US" sz="1200" b="1" baseline="0"/>
                  <a:t> of day</a:t>
                </a:r>
                <a:endParaRPr lang="en-US" sz="1200" b="1"/>
              </a:p>
            </c:rich>
          </c:tx>
          <c:layout>
            <c:manualLayout>
              <c:xMode val="edge"/>
              <c:yMode val="edge"/>
              <c:x val="0.48482438308061909"/>
              <c:y val="0.95391884300972196"/>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h:mm\ AM/PM"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253704"/>
        <c:crosses val="autoZero"/>
        <c:auto val="1"/>
        <c:lblAlgn val="ctr"/>
        <c:lblOffset val="100"/>
        <c:noMultiLvlLbl val="0"/>
      </c:catAx>
      <c:valAx>
        <c:axId val="582253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t" anchorCtr="0"/>
              <a:lstStyle/>
              <a:p>
                <a:pPr>
                  <a:defRPr sz="1200" b="1" i="0" u="none" strike="noStrike" kern="1200" baseline="0">
                    <a:solidFill>
                      <a:schemeClr val="tx1">
                        <a:lumMod val="65000"/>
                        <a:lumOff val="35000"/>
                      </a:schemeClr>
                    </a:solidFill>
                    <a:latin typeface="+mn-lt"/>
                    <a:ea typeface="+mn-ea"/>
                    <a:cs typeface="+mn-cs"/>
                  </a:defRPr>
                </a:pPr>
                <a:r>
                  <a:rPr lang="en-US" sz="1200" b="1"/>
                  <a:t>Concurrent users</a:t>
                </a:r>
              </a:p>
            </c:rich>
          </c:tx>
          <c:overlay val="0"/>
          <c:spPr>
            <a:noFill/>
            <a:ln>
              <a:noFill/>
            </a:ln>
            <a:effectLst/>
          </c:spPr>
          <c:txPr>
            <a:bodyPr rot="-5400000" spcFirstLastPara="1" vertOverflow="ellipsis" vert="horz" wrap="square" anchor="t" anchorCtr="0"/>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2435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Concurrent Users During Weekend Hours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'Usage Pattern'!$C$36</c:f>
              <c:strCache>
                <c:ptCount val="1"/>
                <c:pt idx="0">
                  <c:v>Concurrent Users in each hour</c:v>
                </c:pt>
              </c:strCache>
            </c:strRef>
          </c:tx>
          <c:spPr>
            <a:ln w="28575" cap="rnd">
              <a:solidFill>
                <a:schemeClr val="accent1"/>
              </a:solidFill>
              <a:round/>
            </a:ln>
            <a:effectLst/>
          </c:spPr>
          <c:marker>
            <c:symbol val="none"/>
          </c:marker>
          <c:cat>
            <c:numRef>
              <c:f>'Usage Pattern'!$B$37:$B$60</c:f>
              <c:numCache>
                <c:formatCode>h:mm\ AM/PM</c:formatCode>
                <c:ptCount val="24"/>
                <c:pt idx="0">
                  <c:v>0.29166666666666669</c:v>
                </c:pt>
                <c:pt idx="1">
                  <c:v>0.33333333333333331</c:v>
                </c:pt>
                <c:pt idx="2">
                  <c:v>0.375</c:v>
                </c:pt>
                <c:pt idx="3">
                  <c:v>0.41666666666666702</c:v>
                </c:pt>
                <c:pt idx="4">
                  <c:v>0.45833333333333398</c:v>
                </c:pt>
                <c:pt idx="5">
                  <c:v>0.5</c:v>
                </c:pt>
                <c:pt idx="6">
                  <c:v>0.54166666666666696</c:v>
                </c:pt>
                <c:pt idx="7">
                  <c:v>0.58333333333333304</c:v>
                </c:pt>
                <c:pt idx="8">
                  <c:v>0.625</c:v>
                </c:pt>
                <c:pt idx="9">
                  <c:v>0.66666666666666696</c:v>
                </c:pt>
                <c:pt idx="10">
                  <c:v>0.70833333333333304</c:v>
                </c:pt>
                <c:pt idx="11">
                  <c:v>0.75</c:v>
                </c:pt>
                <c:pt idx="12">
                  <c:v>0.79166666666666696</c:v>
                </c:pt>
                <c:pt idx="13">
                  <c:v>0.83333333333333304</c:v>
                </c:pt>
                <c:pt idx="14">
                  <c:v>0.875</c:v>
                </c:pt>
                <c:pt idx="15">
                  <c:v>0.91666666666666596</c:v>
                </c:pt>
                <c:pt idx="16">
                  <c:v>0.95833333333333304</c:v>
                </c:pt>
                <c:pt idx="17">
                  <c:v>1</c:v>
                </c:pt>
                <c:pt idx="18">
                  <c:v>1.0416666666666701</c:v>
                </c:pt>
                <c:pt idx="19">
                  <c:v>1.0833333333333299</c:v>
                </c:pt>
                <c:pt idx="20">
                  <c:v>1.125</c:v>
                </c:pt>
                <c:pt idx="21">
                  <c:v>1.1666666666666701</c:v>
                </c:pt>
                <c:pt idx="22">
                  <c:v>1.2083333333333299</c:v>
                </c:pt>
                <c:pt idx="23">
                  <c:v>1.25</c:v>
                </c:pt>
              </c:numCache>
            </c:numRef>
          </c:cat>
          <c:val>
            <c:numRef>
              <c:f>'Usage Pattern'!$C$37:$C$60</c:f>
              <c:numCache>
                <c:formatCode>_(* #,##0_);_(* \(#,##0\);_(* "-"??_);_(@_)</c:formatCode>
                <c:ptCount val="24"/>
                <c:pt idx="0">
                  <c:v>5</c:v>
                </c:pt>
                <c:pt idx="1">
                  <c:v>5</c:v>
                </c:pt>
                <c:pt idx="2">
                  <c:v>6</c:v>
                </c:pt>
                <c:pt idx="3">
                  <c:v>6</c:v>
                </c:pt>
                <c:pt idx="4">
                  <c:v>6</c:v>
                </c:pt>
                <c:pt idx="5">
                  <c:v>6</c:v>
                </c:pt>
                <c:pt idx="6">
                  <c:v>7</c:v>
                </c:pt>
                <c:pt idx="7">
                  <c:v>7</c:v>
                </c:pt>
                <c:pt idx="8">
                  <c:v>7</c:v>
                </c:pt>
                <c:pt idx="9">
                  <c:v>7</c:v>
                </c:pt>
                <c:pt idx="10">
                  <c:v>7</c:v>
                </c:pt>
                <c:pt idx="11">
                  <c:v>7</c:v>
                </c:pt>
                <c:pt idx="12">
                  <c:v>7</c:v>
                </c:pt>
                <c:pt idx="13">
                  <c:v>7</c:v>
                </c:pt>
                <c:pt idx="14">
                  <c:v>7</c:v>
                </c:pt>
                <c:pt idx="15">
                  <c:v>7</c:v>
                </c:pt>
              </c:numCache>
            </c:numRef>
          </c:val>
          <c:smooth val="0"/>
          <c:extLst>
            <c:ext xmlns:c16="http://schemas.microsoft.com/office/drawing/2014/chart" uri="{C3380CC4-5D6E-409C-BE32-E72D297353CC}">
              <c16:uniqueId val="{00000000-7C0F-40D2-89BB-ECEAA8B31827}"/>
            </c:ext>
          </c:extLst>
        </c:ser>
        <c:dLbls>
          <c:showLegendKey val="0"/>
          <c:showVal val="0"/>
          <c:showCatName val="0"/>
          <c:showSerName val="0"/>
          <c:showPercent val="0"/>
          <c:showBubbleSize val="0"/>
        </c:dLbls>
        <c:smooth val="0"/>
        <c:axId val="582251744"/>
        <c:axId val="582252136"/>
      </c:lineChart>
      <c:catAx>
        <c:axId val="582251744"/>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Time of day</a:t>
                </a:r>
              </a:p>
            </c:rich>
          </c:tx>
          <c:layout>
            <c:manualLayout>
              <c:xMode val="edge"/>
              <c:yMode val="edge"/>
              <c:x val="0.48437107509935973"/>
              <c:y val="0.94189189189189204"/>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h:mm\ AM/P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252136"/>
        <c:crosses val="autoZero"/>
        <c:auto val="1"/>
        <c:lblAlgn val="ctr"/>
        <c:lblOffset val="100"/>
        <c:noMultiLvlLbl val="0"/>
      </c:catAx>
      <c:valAx>
        <c:axId val="582252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Concurrent users</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2517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66675</xdr:colOff>
      <xdr:row>5</xdr:row>
      <xdr:rowOff>1</xdr:rowOff>
    </xdr:from>
    <xdr:to>
      <xdr:col>15</xdr:col>
      <xdr:colOff>523874</xdr:colOff>
      <xdr:row>30</xdr:row>
      <xdr:rowOff>171450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155573</xdr:colOff>
      <xdr:row>35</xdr:row>
      <xdr:rowOff>3175</xdr:rowOff>
    </xdr:from>
    <xdr:to>
      <xdr:col>15</xdr:col>
      <xdr:colOff>485774</xdr:colOff>
      <xdr:row>60</xdr:row>
      <xdr:rowOff>152400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706907-357B-4D44-A42D-697929BCB628}" name="Table3" displayName="Table3" ref="A1:M31" totalsRowShown="0" headerRowDxfId="32" dataDxfId="30" headerRowBorderDxfId="31" tableBorderDxfId="29" totalsRowBorderDxfId="28">
  <autoFilter ref="A1:M31" xr:uid="{DD706907-357B-4D44-A42D-697929BCB628}"/>
  <tableColumns count="13">
    <tableColumn id="1" xr3:uid="{E836DA55-764A-A043-A89F-A5A09B82D8AD}" name="US East (N. Virginia)" dataDxfId="27"/>
    <tableColumn id="2" xr3:uid="{E6249CAF-CABA-1945-A333-70F0E964534A}" name="US West (Oregon)" dataDxfId="26"/>
    <tableColumn id="13" xr3:uid="{90F35BDF-FC1E-A745-A11F-EFBC980CA24B}" name="US East (Ohio)" dataDxfId="25"/>
    <tableColumn id="12" xr3:uid="{7B43E2DB-3B70-4EE1-AC6C-FF2C118E104F}" name="Canada (Central)" dataDxfId="24"/>
    <tableColumn id="3" xr3:uid="{A41B13DA-B28B-0445-960B-4BB297234D40}" name="EU (Frankfurt)" dataDxfId="23"/>
    <tableColumn id="4" xr3:uid="{61C12986-A6B4-D14C-8DB5-03E165E67D4E}" name="EU (Ireland)" dataDxfId="22"/>
    <tableColumn id="5" xr3:uid="{E4DA8C33-5A82-C44D-9722-1BE9145037CC}" name="EU (London)" dataDxfId="21"/>
    <tableColumn id="6" xr3:uid="{3D9E4DA9-02F8-1B4E-8587-4F1C9E355A11}" name="Asia Pacific (Tokyo)" dataDxfId="20"/>
    <tableColumn id="7" xr3:uid="{FB9E1464-353C-6241-A3A3-F457F2997B40}" name="Asia Pacific (Mumbai)" dataDxfId="19"/>
    <tableColumn id="8" xr3:uid="{F9A39BAC-65BF-FE4B-86CB-0E69A995102F}" name="Asia Pacific (Singapore)" dataDxfId="18"/>
    <tableColumn id="9" xr3:uid="{09A9A5CD-6FAB-B149-BB1D-699F6FB19988}" name="Asia Pacific (Sydney)" dataDxfId="17"/>
    <tableColumn id="10" xr3:uid="{E0C274D5-B777-0549-BBF0-905783A6F266}" name="Asia Pacific (Seoul)"/>
    <tableColumn id="11" xr3:uid="{48C8FBEC-5F2F-E049-8791-751F4F26688B}" name="AWS GovCloud (US-West)" dataDxfId="16"/>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AWSRegionInstance" displayName="AWSRegionInstance" ref="A1:N35" totalsRowShown="0" headerRowDxfId="15" dataDxfId="13" headerRowBorderDxfId="14" tableBorderDxfId="12">
  <autoFilter ref="A1:N35" xr:uid="{00000000-0009-0000-0100-000002000000}"/>
  <tableColumns count="14">
    <tableColumn id="1" xr3:uid="{00000000-0010-0000-0000-000001000000}" name="US East (N. Virginia)" dataDxfId="11"/>
    <tableColumn id="2" xr3:uid="{00000000-0010-0000-0000-000002000000}" name="US West (Oregon)" dataDxfId="10"/>
    <tableColumn id="13" xr3:uid="{59C1053D-D405-3C4E-87B0-D0D6E4FFD195}" name="US East (Ohio)" dataDxfId="9"/>
    <tableColumn id="12" xr3:uid="{DDEAD434-1A2C-464D-A51E-8183AA85DC8F}" name="Canada (Central)" dataDxfId="8"/>
    <tableColumn id="3" xr3:uid="{00000000-0010-0000-0000-000003000000}" name="EU (Frankfurt)" dataDxfId="7"/>
    <tableColumn id="4" xr3:uid="{00000000-0010-0000-0000-000004000000}" name="EU (Ireland)" dataDxfId="6"/>
    <tableColumn id="11" xr3:uid="{D685E409-D154-4D4F-9385-AB8BEB9EBE05}" name="EU (London)" dataDxfId="5"/>
    <tableColumn id="5" xr3:uid="{00000000-0010-0000-0000-000005000000}" name="Asia Pacific (Tokyo)" dataDxfId="4"/>
    <tableColumn id="10" xr3:uid="{00000000-0010-0000-0000-00000A000000}" name="Asia Pacific (Mumbai)" dataDxfId="3"/>
    <tableColumn id="6" xr3:uid="{00000000-0010-0000-0000-000006000000}" name="Asia Pacific (Singapore)" dataDxfId="2"/>
    <tableColumn id="7" xr3:uid="{00000000-0010-0000-0000-000007000000}" name="Asia Pacific (Sydney)" dataDxfId="1"/>
    <tableColumn id="8" xr3:uid="{00000000-0010-0000-0000-000008000000}" name="Asia Pacific (Seoul)"/>
    <tableColumn id="9" xr3:uid="{00000000-0010-0000-0000-000009000000}" name="AWS GovCloud (US-West)"/>
    <tableColumn id="14" xr3:uid="{4510AAA8-5A46-46C5-8793-E64C4C6E6010}" name="South America (Sao Paulo)"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ws.amazon.com/appstream2/pricing/" TargetMode="External"/><Relationship Id="rId7" Type="http://schemas.openxmlformats.org/officeDocument/2006/relationships/comments" Target="../comments1.xml"/><Relationship Id="rId2" Type="http://schemas.openxmlformats.org/officeDocument/2006/relationships/hyperlink" Target="https://aws.amazon.com/blogs/desktop-and-application-streaming/amazon-appstream-2-0-releases-a-simple-pricing-tool/" TargetMode="External"/><Relationship Id="rId1" Type="http://schemas.openxmlformats.org/officeDocument/2006/relationships/hyperlink" Target="https://aws.amazon.com/appstream2/pricing/" TargetMode="External"/><Relationship Id="rId6" Type="http://schemas.openxmlformats.org/officeDocument/2006/relationships/vmlDrawing" Target="../drawings/vmlDrawing1.vml"/><Relationship Id="rId5" Type="http://schemas.openxmlformats.org/officeDocument/2006/relationships/printerSettings" Target="../printerSettings/printerSettings1.bin"/><Relationship Id="rId4" Type="http://schemas.openxmlformats.org/officeDocument/2006/relationships/hyperlink" Target="https://aws.amazon.com/blogs/desktop-and-application-streaming/aws-announces-availability-of-elastic-fleets-with-amazon-appstream-2-0"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
  <sheetViews>
    <sheetView tabSelected="1" zoomScale="90" zoomScaleNormal="90" workbookViewId="0">
      <selection activeCell="D13" sqref="D13"/>
    </sheetView>
  </sheetViews>
  <sheetFormatPr defaultColWidth="0" defaultRowHeight="15.5" zeroHeight="1"/>
  <cols>
    <col min="1" max="1" width="52.58203125" customWidth="1"/>
    <col min="2" max="2" width="28.58203125" customWidth="1"/>
    <col min="3" max="5" width="39.5" customWidth="1"/>
    <col min="6" max="6" width="27.83203125" customWidth="1"/>
    <col min="7" max="7" width="7.58203125" hidden="1" customWidth="1"/>
    <col min="8" max="8" width="0" hidden="1" customWidth="1"/>
  </cols>
  <sheetData>
    <row r="1" spans="1:7" ht="21">
      <c r="A1" s="4" t="s">
        <v>0</v>
      </c>
      <c r="B1" s="8"/>
      <c r="C1" s="8"/>
      <c r="D1" s="8"/>
      <c r="E1" s="117"/>
    </row>
    <row r="2" spans="1:7">
      <c r="A2" s="34" t="s">
        <v>1</v>
      </c>
      <c r="B2" s="5"/>
    </row>
    <row r="3" spans="1:7">
      <c r="A3" s="56" t="s">
        <v>2</v>
      </c>
      <c r="B3" s="126" t="s">
        <v>3</v>
      </c>
      <c r="C3" s="126"/>
      <c r="D3" s="96"/>
      <c r="E3" s="96"/>
    </row>
    <row r="4" spans="1:7" ht="16" customHeight="1">
      <c r="A4" s="93" t="s">
        <v>4</v>
      </c>
      <c r="B4" s="127" t="s">
        <v>5</v>
      </c>
      <c r="C4" s="127"/>
      <c r="D4" s="93"/>
      <c r="E4" s="118"/>
    </row>
    <row r="5" spans="1:7" ht="47.15" customHeight="1" thickBot="1">
      <c r="A5" s="128" t="s">
        <v>6</v>
      </c>
      <c r="B5" s="128"/>
      <c r="C5" s="128"/>
      <c r="D5" s="29"/>
      <c r="E5" s="29"/>
      <c r="F5" s="92"/>
      <c r="G5" s="92"/>
    </row>
    <row r="6" spans="1:7" ht="16" thickBot="1">
      <c r="A6" s="51" t="s">
        <v>7</v>
      </c>
      <c r="B6" s="22" t="s">
        <v>8</v>
      </c>
      <c r="C6" s="9" t="s">
        <v>9</v>
      </c>
      <c r="D6" s="9"/>
      <c r="E6" s="119"/>
    </row>
    <row r="7" spans="1:7" ht="16" thickBot="1">
      <c r="A7" s="71" t="s">
        <v>10</v>
      </c>
      <c r="B7" s="10"/>
      <c r="C7" s="10"/>
      <c r="D7" s="8"/>
      <c r="E7" s="117"/>
      <c r="F7" s="5"/>
    </row>
    <row r="8" spans="1:7" ht="16" thickBot="1">
      <c r="A8" s="69" t="s">
        <v>11</v>
      </c>
      <c r="B8" s="36">
        <v>2</v>
      </c>
      <c r="C8" s="40"/>
      <c r="D8" s="5"/>
      <c r="E8" s="5"/>
      <c r="F8" s="5"/>
    </row>
    <row r="9" spans="1:7" ht="16" thickBot="1">
      <c r="A9" s="69" t="s">
        <v>12</v>
      </c>
      <c r="B9" s="36" t="s">
        <v>13</v>
      </c>
      <c r="C9" s="40"/>
      <c r="D9" s="5"/>
      <c r="E9" s="5"/>
      <c r="F9" s="12"/>
    </row>
    <row r="10" spans="1:7" ht="16" thickBot="1">
      <c r="A10" s="69" t="s">
        <v>14</v>
      </c>
      <c r="B10" s="36" t="s">
        <v>15</v>
      </c>
      <c r="C10" s="41"/>
      <c r="D10" s="12"/>
      <c r="E10" s="12"/>
      <c r="F10" s="11"/>
    </row>
    <row r="11" spans="1:7" ht="16" thickBot="1">
      <c r="A11" s="69" t="s">
        <v>16</v>
      </c>
      <c r="B11" s="36" t="s">
        <v>17</v>
      </c>
      <c r="C11" s="42" t="s">
        <v>18</v>
      </c>
      <c r="D11" s="111"/>
      <c r="E11" s="111"/>
      <c r="F11" s="12"/>
    </row>
    <row r="12" spans="1:7" ht="16" thickBot="1">
      <c r="A12" s="69" t="s">
        <v>19</v>
      </c>
      <c r="B12" s="36" t="s">
        <v>20</v>
      </c>
      <c r="C12" s="40" t="s">
        <v>21</v>
      </c>
      <c r="D12" s="5"/>
      <c r="E12" s="5"/>
      <c r="F12" s="38"/>
    </row>
    <row r="13" spans="1:7" ht="33.75" customHeight="1" thickBot="1">
      <c r="A13" s="70" t="s">
        <v>22</v>
      </c>
      <c r="B13" s="37">
        <v>0.1</v>
      </c>
      <c r="C13" s="39"/>
      <c r="D13" s="38"/>
      <c r="E13" s="38"/>
      <c r="F13" s="29"/>
    </row>
    <row r="14" spans="1:7" ht="35.25" customHeight="1">
      <c r="A14" s="129" t="s">
        <v>23</v>
      </c>
      <c r="B14" s="129"/>
      <c r="C14" s="129"/>
      <c r="D14" s="97"/>
      <c r="E14" s="97"/>
    </row>
    <row r="15" spans="1:7" ht="16" thickBot="1">
      <c r="A15" s="60"/>
      <c r="B15" s="130" t="s">
        <v>24</v>
      </c>
      <c r="C15" s="131"/>
      <c r="D15" s="112"/>
      <c r="E15" s="120"/>
    </row>
    <row r="16" spans="1:7">
      <c r="A16" s="61" t="s">
        <v>25</v>
      </c>
      <c r="B16" s="22">
        <f ca="1">IF(OS_Type=Constants!D2,VLOOKUP(license_model,AWS_Region_Instance_Pricing_Windows,MATCH(Selected_AWS_Region,AWS_Region_Listing_Windows,0)+1,FALSE),VLOOKUP(license_model,AWS_Region_Instance_Pricing_Linux,MATCH(Selected_AWS_Region,AWS_Region_Listing_Linux,0)+1,FALSE))</f>
        <v>4.1900000000000004</v>
      </c>
      <c r="C16" s="12"/>
      <c r="D16" s="12"/>
      <c r="E16" s="12"/>
    </row>
    <row r="17" spans="1:6">
      <c r="A17" s="61" t="s">
        <v>26</v>
      </c>
      <c r="B17" s="76">
        <f ca="1">IF(OS_Type=Constants!D2,VLOOKUP(Selected_Instance,AWS_Region_Instance_Pricing_Windows,MATCH(Selected_AWS_Region,AWS_Region_Listing_Windows,0)+1,FALSE),VLOOKUP(Selected_Instance,AWS_Region_Instance_Pricing_Linux,MATCH(Selected_AWS_Region,AWS_Region_Listing_Linux,0)+1,FALSE))</f>
        <v>0.96</v>
      </c>
      <c r="C17" s="11"/>
      <c r="D17" s="11"/>
      <c r="E17" s="11"/>
    </row>
    <row r="18" spans="1:6" ht="16" thickBot="1">
      <c r="A18" s="62" t="s">
        <v>27</v>
      </c>
      <c r="B18" s="32">
        <f ca="1">IF(instance_price_streaming="N/A","N/A",IF(OS_Type=Constants!D2,VLOOKUP("StoppedInstanceFee",AWS_Region_Instance_Pricing_Windows,MATCH(Selected_AWS_Region,AWS_Region_Listing_Windows,0)+1,FALSE),VLOOKUP("StoppedInstanceFee",AWS_Region_Instance_Pricing_Linux,MATCH(Selected_AWS_Region,AWS_Region_Listing_Linux,0)+1,FALSE)))</f>
        <v>2.5000000000000001E-2</v>
      </c>
      <c r="C18" s="33" t="s">
        <v>28</v>
      </c>
      <c r="D18" s="11"/>
      <c r="E18" s="11"/>
    </row>
    <row r="19" spans="1:6" ht="16" thickBot="1">
      <c r="A19" s="63"/>
      <c r="B19" s="43" t="s">
        <v>29</v>
      </c>
      <c r="C19" s="44" t="s">
        <v>30</v>
      </c>
      <c r="D19" s="113"/>
      <c r="E19" s="121"/>
    </row>
    <row r="20" spans="1:6">
      <c r="A20" s="61" t="s">
        <v>31</v>
      </c>
      <c r="B20" s="23">
        <v>3600</v>
      </c>
      <c r="C20" s="23">
        <f>Buffer_Weekday_Hours*Days_In_Work_Week*Weeks_Per_Month</f>
        <v>360</v>
      </c>
      <c r="D20" s="23"/>
      <c r="E20" s="122"/>
      <c r="F20" s="55"/>
    </row>
    <row r="21" spans="1:6">
      <c r="A21" s="64" t="s">
        <v>32</v>
      </c>
      <c r="B21" s="23">
        <f>Used_Weekend_Hours*Days_In_Weekend*Weeks_Per_Month</f>
        <v>832</v>
      </c>
      <c r="C21" s="23">
        <f>Buffer_Weekend_Hours*Days_In_Weekend*Weeks_Per_Month</f>
        <v>128</v>
      </c>
      <c r="D21" s="23"/>
      <c r="E21" s="122"/>
    </row>
    <row r="22" spans="1:6" ht="16" thickBot="1">
      <c r="A22" s="64" t="s">
        <v>33</v>
      </c>
      <c r="B22" s="23">
        <f>IFERROR((Monthly_Used_WD_Hours+Monthly_Used_WE_Hours)/total_users,0)</f>
        <v>2216</v>
      </c>
      <c r="C22" s="23">
        <f>IFERROR((Monthly_Buffer_WD_Hours+Monthly_Buffer_WE_Hours)/total_users,0)</f>
        <v>244</v>
      </c>
      <c r="D22" s="23"/>
      <c r="E22" s="122"/>
      <c r="F22" s="55"/>
    </row>
    <row r="23" spans="1:6">
      <c r="A23" s="65" t="s">
        <v>34</v>
      </c>
      <c r="B23" s="13" t="s">
        <v>35</v>
      </c>
      <c r="C23" s="26" t="s">
        <v>36</v>
      </c>
      <c r="D23" s="114"/>
      <c r="E23" s="123"/>
    </row>
    <row r="24" spans="1:6" ht="16" thickBot="1">
      <c r="A24" s="66"/>
      <c r="B24" s="27" t="s">
        <v>37</v>
      </c>
      <c r="C24" s="28" t="s">
        <v>37</v>
      </c>
      <c r="D24" s="114"/>
      <c r="E24" s="123"/>
    </row>
    <row r="25" spans="1:6">
      <c r="A25" s="64" t="s">
        <v>38</v>
      </c>
      <c r="B25" s="14">
        <f ca="1">(Monthly_Used_WD_Hours+Monthly_Buffer_WD_Hours)*instance_price_streaming</f>
        <v>3801.6</v>
      </c>
      <c r="C25" s="14">
        <f ca="1">(Monthly_Used_WD_Hours*instance_price_streaming)+(Monthly_Buffer_WD_Hours*instance_price_stopped)</f>
        <v>3465</v>
      </c>
      <c r="D25" s="115"/>
      <c r="E25" s="124"/>
    </row>
    <row r="26" spans="1:6">
      <c r="A26" s="64" t="s">
        <v>39</v>
      </c>
      <c r="B26" s="14">
        <f ca="1">(Monthly_Used_WE_Hours+Monthly_Buffer_WE_Hours)*instance_price_streaming</f>
        <v>921.59999999999991</v>
      </c>
      <c r="C26" s="14">
        <f ca="1">(Monthly_Used_WE_Hours*instance_price_streaming)+(Monthly_Buffer_WE_Hours*instance_price_stopped)</f>
        <v>801.92000000000007</v>
      </c>
      <c r="D26" s="115"/>
      <c r="E26" s="124"/>
    </row>
    <row r="27" spans="1:6" ht="16" thickBot="1">
      <c r="A27" s="67" t="s">
        <v>40</v>
      </c>
      <c r="B27" s="15">
        <f ca="1">RDS_SAL_Fee*total_users</f>
        <v>8.3800000000000008</v>
      </c>
      <c r="C27" s="15">
        <f ca="1">RDS_SAL_Fee*total_users</f>
        <v>8.3800000000000008</v>
      </c>
      <c r="D27" s="115"/>
      <c r="E27" s="124"/>
      <c r="F27" s="5"/>
    </row>
    <row r="28" spans="1:6" ht="16" thickTop="1">
      <c r="A28" s="64" t="s">
        <v>41</v>
      </c>
      <c r="B28" s="14">
        <f ca="1">SUM(B25:B27)</f>
        <v>4731.58</v>
      </c>
      <c r="C28" s="14">
        <f ca="1">SUM(C25:C27)</f>
        <v>4275.3</v>
      </c>
      <c r="D28" s="115"/>
      <c r="E28" s="124"/>
    </row>
    <row r="29" spans="1:6">
      <c r="A29" s="64" t="s">
        <v>42</v>
      </c>
      <c r="B29" s="14">
        <f ca="1">12*B28</f>
        <v>56778.96</v>
      </c>
      <c r="C29" s="14">
        <f ca="1">12*C28</f>
        <v>51303.600000000006</v>
      </c>
      <c r="D29" s="115"/>
      <c r="E29" s="124"/>
    </row>
    <row r="30" spans="1:6" ht="16" thickBot="1">
      <c r="A30" s="68" t="s">
        <v>43</v>
      </c>
      <c r="B30" s="16">
        <f ca="1">IF(total_users&lt;&gt;0,B28/total_users,0)</f>
        <v>2365.79</v>
      </c>
      <c r="C30" s="16">
        <f ca="1">IF(total_users&lt;&gt;0,C28/total_users,0)</f>
        <v>2137.65</v>
      </c>
      <c r="D30" s="116"/>
      <c r="E30" s="125"/>
    </row>
    <row r="31" spans="1:6"/>
    <row r="32" spans="1:6">
      <c r="A32" s="2" t="s">
        <v>44</v>
      </c>
      <c r="B32" s="17">
        <f ca="1">IF(B30&lt;&gt;0,(B30-C30)/B30,0)</f>
        <v>9.6432904019376139E-2</v>
      </c>
    </row>
    <row r="33" spans="1:6" ht="16" customHeight="1">
      <c r="A33" s="91" t="s">
        <v>45</v>
      </c>
      <c r="B33" s="91"/>
      <c r="C33" s="91"/>
      <c r="D33" s="91"/>
      <c r="E33" s="91"/>
      <c r="F33" s="91"/>
    </row>
    <row r="34" spans="1:6" hidden="1">
      <c r="A34" s="5"/>
    </row>
    <row r="35" spans="1:6" hidden="1">
      <c r="A35" s="5"/>
    </row>
    <row r="36" spans="1:6" hidden="1">
      <c r="A36" s="5"/>
    </row>
    <row r="37" spans="1:6" hidden="1">
      <c r="A37" s="5"/>
    </row>
    <row r="38" spans="1:6" hidden="1">
      <c r="A38" s="5"/>
    </row>
    <row r="39" spans="1:6"/>
  </sheetData>
  <mergeCells count="5">
    <mergeCell ref="B3:C3"/>
    <mergeCell ref="B4:C4"/>
    <mergeCell ref="A5:C5"/>
    <mergeCell ref="A14:C14"/>
    <mergeCell ref="B15:C15"/>
  </mergeCells>
  <dataValidations count="4">
    <dataValidation allowBlank="1" showInputMessage="1" errorTitle="Read Only" sqref="B17:B19" xr:uid="{00000000-0002-0000-0000-000002000000}"/>
    <dataValidation type="decimal" allowBlank="1" showInputMessage="1" showErrorMessage="1" errorTitle="Value not between 0 and 1" promptTitle="Enter a value between 1 and 100" sqref="B13" xr:uid="{00000000-0002-0000-0000-000003000000}">
      <formula1>0</formula1>
      <formula2>1</formula2>
    </dataValidation>
    <dataValidation operator="lessThanOrEqual" allowBlank="1" showInputMessage="1" showErrorMessage="1" errorTitle="Invalid Input" error="Value must be less than or equal to 24 hours" sqref="C20:E20" xr:uid="{00000000-0002-0000-0000-000004000000}"/>
    <dataValidation type="whole" operator="greaterThan" allowBlank="1" showErrorMessage="1" errorTitle="Invalid information" error="Please enter a positive number of total users within your organization that will stream." sqref="B8" xr:uid="{00000000-0002-0000-0000-000006000000}">
      <formula1>0</formula1>
    </dataValidation>
  </dataValidations>
  <hyperlinks>
    <hyperlink ref="C11" r:id="rId1" xr:uid="{00000000-0004-0000-0000-000000000000}"/>
    <hyperlink ref="B3:C3" r:id="rId2" display="Amazon AppStream 2.0 releases a simple pricing tool" xr:uid="{00000000-0004-0000-0000-000001000000}"/>
    <hyperlink ref="A4" r:id="rId3" xr:uid="{99A20851-A9D6-B84A-94A4-FBD29FE15653}"/>
    <hyperlink ref="B4:C4" r:id="rId4" display="Learn about Elastic fleets" xr:uid="{A5969B5A-6701-F74D-A787-D3A3782977B5}"/>
  </hyperlinks>
  <pageMargins left="0.7" right="0.7" top="0.75" bottom="0.75" header="0.3" footer="0.3"/>
  <pageSetup orientation="portrait" r:id="rId5"/>
  <legacyDrawing r:id="rId6"/>
  <extLst>
    <ext xmlns:x14="http://schemas.microsoft.com/office/spreadsheetml/2009/9/main" uri="{CCE6A557-97BC-4b89-ADB6-D9C93CAAB3DF}">
      <x14:dataValidations xmlns:xm="http://schemas.microsoft.com/office/excel/2006/main" count="4">
        <x14:dataValidation type="list" allowBlank="1" showInputMessage="1" showErrorMessage="1" xr:uid="{112E20C2-E090-A441-A4AE-4BC2F34F8C21}">
          <x14:formula1>
            <xm:f>IF(OS_Type=Constants!$D$2,Windows,Linux)</xm:f>
          </x14:formula1>
          <xm:sqref>B12</xm:sqref>
        </x14:dataValidation>
        <x14:dataValidation type="list" allowBlank="1" showInputMessage="1" showErrorMessage="1" xr:uid="{00000000-0002-0000-0000-000000000000}">
          <x14:formula1>
            <xm:f>IF(OS_Type=Constants!$D$2,AWS_Region_Listing_Windows,AWS_Region_Listing_Linux)</xm:f>
          </x14:formula1>
          <xm:sqref>B10</xm:sqref>
        </x14:dataValidation>
        <x14:dataValidation type="list" allowBlank="1" showInputMessage="1" errorTitle="Read Only" xr:uid="{00000000-0002-0000-0000-000005000000}">
          <x14:formula1>
            <xm:f>IF(OS_Type=Constants!$D$2,Instances_For_Selected_AWS_Region_Windows,Instances_For_Selected_AWS_Region_Linux)</xm:f>
          </x14:formula1>
          <xm:sqref>B11</xm:sqref>
        </x14:dataValidation>
        <x14:dataValidation type="list" operator="greaterThan" allowBlank="1" showErrorMessage="1" errorTitle="Invalid information" error="Please enter a positive number of total users within your organization that will stream." xr:uid="{7A9663E7-05CA-344B-9B59-1ADF041DB4B2}">
          <x14:formula1>
            <xm:f>Constants!$D$2:$D$3</xm:f>
          </x14:formula1>
          <xm:sqref>B9</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62"/>
  <sheetViews>
    <sheetView topLeftCell="A30" workbookViewId="0">
      <selection activeCell="D37" sqref="D37:D52"/>
    </sheetView>
  </sheetViews>
  <sheetFormatPr defaultColWidth="0" defaultRowHeight="15.5" zeroHeight="1"/>
  <cols>
    <col min="1" max="2" width="11" customWidth="1"/>
    <col min="3" max="3" width="28.83203125" customWidth="1"/>
    <col min="4" max="4" width="19.58203125" bestFit="1" customWidth="1"/>
    <col min="5" max="16" width="11" customWidth="1"/>
    <col min="17" max="16384" width="11" hidden="1"/>
  </cols>
  <sheetData>
    <row r="1" spans="1:4" ht="29" thickBot="1">
      <c r="A1" s="6" t="s">
        <v>46</v>
      </c>
    </row>
    <row r="2" spans="1:4" ht="16" thickBot="1">
      <c r="A2" s="132" t="s">
        <v>47</v>
      </c>
      <c r="B2" s="132"/>
      <c r="C2" s="47">
        <v>4</v>
      </c>
    </row>
    <row r="3" spans="1:4">
      <c r="A3" s="49"/>
      <c r="B3" s="49"/>
      <c r="C3" s="50"/>
    </row>
    <row r="4" spans="1:4" ht="16" thickBot="1">
      <c r="A4" s="2" t="s">
        <v>48</v>
      </c>
    </row>
    <row r="5" spans="1:4" s="45" customFormat="1" ht="16" thickBot="1">
      <c r="A5" s="133" t="s">
        <v>49</v>
      </c>
      <c r="B5" s="133"/>
      <c r="C5" s="48">
        <v>5</v>
      </c>
    </row>
    <row r="6" spans="1:4" ht="16" thickBot="1">
      <c r="A6" s="2" t="s">
        <v>50</v>
      </c>
      <c r="B6" s="2" t="s">
        <v>51</v>
      </c>
      <c r="C6" s="2" t="s">
        <v>52</v>
      </c>
      <c r="D6" s="2" t="s">
        <v>53</v>
      </c>
    </row>
    <row r="7" spans="1:4" ht="16" thickBot="1">
      <c r="A7" s="3">
        <v>0.25</v>
      </c>
      <c r="B7" s="3">
        <v>0.29166666666666669</v>
      </c>
      <c r="C7" s="18">
        <v>10</v>
      </c>
      <c r="D7" s="24">
        <f t="shared" ref="D7:D30" si="0">ROUNDUP($C7*buffer_percent,0)</f>
        <v>1</v>
      </c>
    </row>
    <row r="8" spans="1:4" ht="16" thickBot="1">
      <c r="A8" s="3">
        <v>0.29166666666666669</v>
      </c>
      <c r="B8" s="3">
        <v>0.33333333333333331</v>
      </c>
      <c r="C8" s="18">
        <v>10</v>
      </c>
      <c r="D8" s="25">
        <f t="shared" si="0"/>
        <v>1</v>
      </c>
    </row>
    <row r="9" spans="1:4" ht="16" thickBot="1">
      <c r="A9" s="3">
        <v>0.33333333333333331</v>
      </c>
      <c r="B9" s="3">
        <v>0.375</v>
      </c>
      <c r="C9" s="18">
        <v>10</v>
      </c>
      <c r="D9" s="25">
        <f t="shared" si="0"/>
        <v>1</v>
      </c>
    </row>
    <row r="10" spans="1:4" ht="16" thickBot="1">
      <c r="A10" s="3">
        <v>0.375</v>
      </c>
      <c r="B10" s="3">
        <v>0.41666666666666702</v>
      </c>
      <c r="C10" s="18">
        <v>10</v>
      </c>
      <c r="D10" s="25">
        <f t="shared" si="0"/>
        <v>1</v>
      </c>
    </row>
    <row r="11" spans="1:4" ht="16" thickBot="1">
      <c r="A11" s="3">
        <v>0.41666666666666702</v>
      </c>
      <c r="B11" s="3">
        <v>0.45833333333333398</v>
      </c>
      <c r="C11" s="18">
        <v>10</v>
      </c>
      <c r="D11" s="25">
        <f t="shared" si="0"/>
        <v>1</v>
      </c>
    </row>
    <row r="12" spans="1:4" ht="16" thickBot="1">
      <c r="A12" s="3">
        <v>0.45833333333333298</v>
      </c>
      <c r="B12" s="3">
        <v>0.5</v>
      </c>
      <c r="C12" s="18">
        <v>10</v>
      </c>
      <c r="D12" s="25">
        <f t="shared" si="0"/>
        <v>1</v>
      </c>
    </row>
    <row r="13" spans="1:4" ht="16" thickBot="1">
      <c r="A13" s="3">
        <v>0.5</v>
      </c>
      <c r="B13" s="3">
        <v>0.54166666666666696</v>
      </c>
      <c r="C13" s="18">
        <v>10</v>
      </c>
      <c r="D13" s="25">
        <f t="shared" si="0"/>
        <v>1</v>
      </c>
    </row>
    <row r="14" spans="1:4" ht="16" thickBot="1">
      <c r="A14" s="3">
        <v>0.54166666666666696</v>
      </c>
      <c r="B14" s="3">
        <v>0.58333333333333304</v>
      </c>
      <c r="C14" s="18">
        <v>10</v>
      </c>
      <c r="D14" s="25">
        <f t="shared" si="0"/>
        <v>1</v>
      </c>
    </row>
    <row r="15" spans="1:4" ht="16" thickBot="1">
      <c r="A15" s="3">
        <v>0.58333333333333304</v>
      </c>
      <c r="B15" s="3">
        <v>0.625</v>
      </c>
      <c r="C15" s="18">
        <v>10</v>
      </c>
      <c r="D15" s="25">
        <f t="shared" si="0"/>
        <v>1</v>
      </c>
    </row>
    <row r="16" spans="1:4" ht="16" thickBot="1">
      <c r="A16" s="3">
        <v>0.625</v>
      </c>
      <c r="B16" s="3">
        <v>0.66666666666666696</v>
      </c>
      <c r="C16" s="18">
        <v>10</v>
      </c>
      <c r="D16" s="25">
        <f t="shared" si="0"/>
        <v>1</v>
      </c>
    </row>
    <row r="17" spans="1:4" ht="16" thickBot="1">
      <c r="A17" s="3">
        <v>0.66666666666666696</v>
      </c>
      <c r="B17" s="3">
        <v>0.70833333333333304</v>
      </c>
      <c r="C17" s="18">
        <v>10</v>
      </c>
      <c r="D17" s="25">
        <f t="shared" si="0"/>
        <v>1</v>
      </c>
    </row>
    <row r="18" spans="1:4" ht="16" thickBot="1">
      <c r="A18" s="3">
        <v>0.70833333333333404</v>
      </c>
      <c r="B18" s="3">
        <v>0.75</v>
      </c>
      <c r="C18" s="18">
        <v>10</v>
      </c>
      <c r="D18" s="25">
        <f t="shared" si="0"/>
        <v>1</v>
      </c>
    </row>
    <row r="19" spans="1:4" ht="16" thickBot="1">
      <c r="A19" s="3">
        <v>0.75</v>
      </c>
      <c r="B19" s="3">
        <v>0.79166666666666696</v>
      </c>
      <c r="C19" s="18">
        <v>10</v>
      </c>
      <c r="D19" s="25">
        <f t="shared" si="0"/>
        <v>1</v>
      </c>
    </row>
    <row r="20" spans="1:4" ht="16" thickBot="1">
      <c r="A20" s="3">
        <v>0.79166666666666696</v>
      </c>
      <c r="B20" s="3">
        <v>0.83333333333333304</v>
      </c>
      <c r="C20" s="18">
        <v>10</v>
      </c>
      <c r="D20" s="25">
        <f t="shared" si="0"/>
        <v>1</v>
      </c>
    </row>
    <row r="21" spans="1:4" ht="16" thickBot="1">
      <c r="A21" s="3">
        <v>0.83333333333333404</v>
      </c>
      <c r="B21" s="3">
        <v>0.875</v>
      </c>
      <c r="C21" s="18">
        <v>10</v>
      </c>
      <c r="D21" s="25">
        <f t="shared" si="0"/>
        <v>1</v>
      </c>
    </row>
    <row r="22" spans="1:4" ht="16" thickBot="1">
      <c r="A22" s="3">
        <v>0.875</v>
      </c>
      <c r="B22" s="3">
        <v>0.91666666666666596</v>
      </c>
      <c r="C22" s="18">
        <v>10</v>
      </c>
      <c r="D22" s="25">
        <f t="shared" si="0"/>
        <v>1</v>
      </c>
    </row>
    <row r="23" spans="1:4" ht="16" thickBot="1">
      <c r="A23" s="3">
        <v>0.91666666666666696</v>
      </c>
      <c r="B23" s="3">
        <v>0.95833333333333304</v>
      </c>
      <c r="C23" s="18">
        <v>10</v>
      </c>
      <c r="D23" s="25">
        <f t="shared" si="0"/>
        <v>1</v>
      </c>
    </row>
    <row r="24" spans="1:4" ht="16" thickBot="1">
      <c r="A24" s="3">
        <v>0.95833333333333404</v>
      </c>
      <c r="B24" s="3">
        <v>1</v>
      </c>
      <c r="C24" s="18">
        <v>10</v>
      </c>
      <c r="D24" s="25">
        <f>ROUNDUP($C24*buffer_percent,0)</f>
        <v>1</v>
      </c>
    </row>
    <row r="25" spans="1:4">
      <c r="A25" s="3">
        <v>1</v>
      </c>
      <c r="B25" s="3">
        <v>1.0416666666666701</v>
      </c>
      <c r="C25" s="18"/>
      <c r="D25" s="25">
        <f t="shared" si="0"/>
        <v>0</v>
      </c>
    </row>
    <row r="26" spans="1:4">
      <c r="A26" s="3">
        <v>1.0416666666666701</v>
      </c>
      <c r="B26" s="3">
        <v>1.0833333333333299</v>
      </c>
      <c r="C26" s="20"/>
      <c r="D26" s="25">
        <f t="shared" si="0"/>
        <v>0</v>
      </c>
    </row>
    <row r="27" spans="1:4">
      <c r="A27" s="3">
        <v>1.0833333333333299</v>
      </c>
      <c r="B27" s="3">
        <v>1.125</v>
      </c>
      <c r="C27" s="20"/>
      <c r="D27" s="25">
        <f t="shared" si="0"/>
        <v>0</v>
      </c>
    </row>
    <row r="28" spans="1:4">
      <c r="A28" s="3">
        <v>1.125</v>
      </c>
      <c r="B28" s="3">
        <v>1.1666666666666701</v>
      </c>
      <c r="C28" s="20"/>
      <c r="D28" s="25">
        <f t="shared" si="0"/>
        <v>0</v>
      </c>
    </row>
    <row r="29" spans="1:4">
      <c r="A29" s="3">
        <v>1.1666666666666701</v>
      </c>
      <c r="B29" s="3">
        <v>1.2083333333333299</v>
      </c>
      <c r="C29" s="58"/>
      <c r="D29" s="25">
        <f t="shared" si="0"/>
        <v>0</v>
      </c>
    </row>
    <row r="30" spans="1:4" ht="16" thickBot="1">
      <c r="A30" s="3">
        <v>1.2083333333333299</v>
      </c>
      <c r="B30" s="3">
        <v>1.25</v>
      </c>
      <c r="C30" s="59"/>
      <c r="D30" s="25">
        <f t="shared" si="0"/>
        <v>0</v>
      </c>
    </row>
    <row r="31" spans="1:4" ht="16" thickBot="1">
      <c r="A31" s="2" t="s">
        <v>54</v>
      </c>
      <c r="C31" s="57">
        <f>SUM(C7:C30)</f>
        <v>180</v>
      </c>
      <c r="D31" s="52">
        <f>SUM(D7:D30)</f>
        <v>18</v>
      </c>
    </row>
    <row r="32" spans="1:4"/>
    <row r="33" spans="1:4"/>
    <row r="34" spans="1:4" ht="16" thickBot="1">
      <c r="A34" s="2" t="s">
        <v>55</v>
      </c>
    </row>
    <row r="35" spans="1:4" ht="16" thickBot="1">
      <c r="A35" s="133" t="s">
        <v>56</v>
      </c>
      <c r="B35" s="134"/>
      <c r="C35" s="46">
        <v>2</v>
      </c>
    </row>
    <row r="36" spans="1:4" ht="16" thickBot="1">
      <c r="A36" s="2" t="s">
        <v>50</v>
      </c>
      <c r="B36" s="2" t="s">
        <v>51</v>
      </c>
      <c r="C36" s="2" t="s">
        <v>52</v>
      </c>
      <c r="D36" s="2" t="s">
        <v>53</v>
      </c>
    </row>
    <row r="37" spans="1:4">
      <c r="A37" s="3">
        <v>0.25</v>
      </c>
      <c r="B37" s="3">
        <v>0.29166666666666669</v>
      </c>
      <c r="C37" s="18">
        <v>5</v>
      </c>
      <c r="D37" s="19">
        <f t="shared" ref="D37:D60" si="1">ROUNDUP($C37*buffer_percent,0)</f>
        <v>1</v>
      </c>
    </row>
    <row r="38" spans="1:4">
      <c r="A38" s="3">
        <v>0.29166666666666669</v>
      </c>
      <c r="B38" s="3">
        <v>0.33333333333333331</v>
      </c>
      <c r="C38" s="20">
        <v>5</v>
      </c>
      <c r="D38" s="21">
        <f t="shared" si="1"/>
        <v>1</v>
      </c>
    </row>
    <row r="39" spans="1:4">
      <c r="A39" s="3">
        <v>0.33333333333333331</v>
      </c>
      <c r="B39" s="3">
        <v>0.375</v>
      </c>
      <c r="C39" s="20">
        <v>6</v>
      </c>
      <c r="D39" s="21">
        <f t="shared" si="1"/>
        <v>1</v>
      </c>
    </row>
    <row r="40" spans="1:4">
      <c r="A40" s="3">
        <v>0.375</v>
      </c>
      <c r="B40" s="3">
        <v>0.41666666666666702</v>
      </c>
      <c r="C40" s="20">
        <v>6</v>
      </c>
      <c r="D40" s="21">
        <f t="shared" si="1"/>
        <v>1</v>
      </c>
    </row>
    <row r="41" spans="1:4">
      <c r="A41" s="3">
        <v>0.41666666666666702</v>
      </c>
      <c r="B41" s="3">
        <v>0.45833333333333398</v>
      </c>
      <c r="C41" s="20">
        <v>6</v>
      </c>
      <c r="D41" s="21">
        <f t="shared" si="1"/>
        <v>1</v>
      </c>
    </row>
    <row r="42" spans="1:4">
      <c r="A42" s="3">
        <v>0.45833333333333298</v>
      </c>
      <c r="B42" s="3">
        <v>0.5</v>
      </c>
      <c r="C42" s="20">
        <v>6</v>
      </c>
      <c r="D42" s="21">
        <f t="shared" si="1"/>
        <v>1</v>
      </c>
    </row>
    <row r="43" spans="1:4">
      <c r="A43" s="3">
        <v>0.5</v>
      </c>
      <c r="B43" s="3">
        <v>0.54166666666666696</v>
      </c>
      <c r="C43" s="20">
        <v>7</v>
      </c>
      <c r="D43" s="21">
        <f t="shared" si="1"/>
        <v>1</v>
      </c>
    </row>
    <row r="44" spans="1:4">
      <c r="A44" s="3">
        <v>0.54166666666666696</v>
      </c>
      <c r="B44" s="3">
        <v>0.58333333333333304</v>
      </c>
      <c r="C44" s="20">
        <v>7</v>
      </c>
      <c r="D44" s="21">
        <f t="shared" si="1"/>
        <v>1</v>
      </c>
    </row>
    <row r="45" spans="1:4">
      <c r="A45" s="3">
        <v>0.58333333333333304</v>
      </c>
      <c r="B45" s="3">
        <v>0.625</v>
      </c>
      <c r="C45" s="20">
        <v>7</v>
      </c>
      <c r="D45" s="21">
        <f t="shared" si="1"/>
        <v>1</v>
      </c>
    </row>
    <row r="46" spans="1:4">
      <c r="A46" s="3">
        <v>0.625</v>
      </c>
      <c r="B46" s="3">
        <v>0.66666666666666696</v>
      </c>
      <c r="C46" s="20">
        <v>7</v>
      </c>
      <c r="D46" s="21">
        <f t="shared" si="1"/>
        <v>1</v>
      </c>
    </row>
    <row r="47" spans="1:4">
      <c r="A47" s="3">
        <v>0.66666666666666696</v>
      </c>
      <c r="B47" s="3">
        <v>0.70833333333333304</v>
      </c>
      <c r="C47" s="20">
        <v>7</v>
      </c>
      <c r="D47" s="21">
        <f t="shared" si="1"/>
        <v>1</v>
      </c>
    </row>
    <row r="48" spans="1:4">
      <c r="A48" s="3">
        <v>0.70833333333333404</v>
      </c>
      <c r="B48" s="3">
        <v>0.75</v>
      </c>
      <c r="C48" s="20">
        <v>7</v>
      </c>
      <c r="D48" s="21">
        <f t="shared" si="1"/>
        <v>1</v>
      </c>
    </row>
    <row r="49" spans="1:4">
      <c r="A49" s="3">
        <v>0.75</v>
      </c>
      <c r="B49" s="3">
        <v>0.79166666666666696</v>
      </c>
      <c r="C49" s="20">
        <v>7</v>
      </c>
      <c r="D49" s="21">
        <f t="shared" si="1"/>
        <v>1</v>
      </c>
    </row>
    <row r="50" spans="1:4">
      <c r="A50" s="3">
        <v>0.79166666666666696</v>
      </c>
      <c r="B50" s="3">
        <v>0.83333333333333304</v>
      </c>
      <c r="C50" s="20">
        <v>7</v>
      </c>
      <c r="D50" s="21">
        <f t="shared" si="1"/>
        <v>1</v>
      </c>
    </row>
    <row r="51" spans="1:4">
      <c r="A51" s="3">
        <v>0.83333333333333404</v>
      </c>
      <c r="B51" s="3">
        <v>0.875</v>
      </c>
      <c r="C51" s="20">
        <v>7</v>
      </c>
      <c r="D51" s="21">
        <f t="shared" si="1"/>
        <v>1</v>
      </c>
    </row>
    <row r="52" spans="1:4">
      <c r="A52" s="3">
        <v>0.875</v>
      </c>
      <c r="B52" s="3">
        <v>0.91666666666666596</v>
      </c>
      <c r="C52" s="20">
        <v>7</v>
      </c>
      <c r="D52" s="21">
        <f t="shared" si="1"/>
        <v>1</v>
      </c>
    </row>
    <row r="53" spans="1:4">
      <c r="A53" s="3">
        <v>0.91666666666666696</v>
      </c>
      <c r="B53" s="3">
        <v>0.95833333333333304</v>
      </c>
      <c r="C53" s="20"/>
      <c r="D53" s="21">
        <f t="shared" si="1"/>
        <v>0</v>
      </c>
    </row>
    <row r="54" spans="1:4">
      <c r="A54" s="3">
        <v>0.95833333333333404</v>
      </c>
      <c r="B54" s="3">
        <v>1</v>
      </c>
      <c r="C54" s="20"/>
      <c r="D54" s="21">
        <f t="shared" si="1"/>
        <v>0</v>
      </c>
    </row>
    <row r="55" spans="1:4">
      <c r="A55" s="3">
        <v>1</v>
      </c>
      <c r="B55" s="3">
        <v>1.0416666666666701</v>
      </c>
      <c r="C55" s="20"/>
      <c r="D55" s="21">
        <f t="shared" si="1"/>
        <v>0</v>
      </c>
    </row>
    <row r="56" spans="1:4">
      <c r="A56" s="3">
        <v>1.0416666666666701</v>
      </c>
      <c r="B56" s="3">
        <v>1.0833333333333299</v>
      </c>
      <c r="C56" s="20"/>
      <c r="D56" s="21">
        <f t="shared" si="1"/>
        <v>0</v>
      </c>
    </row>
    <row r="57" spans="1:4">
      <c r="A57" s="3">
        <v>1.0833333333333299</v>
      </c>
      <c r="B57" s="3">
        <v>1.125</v>
      </c>
      <c r="C57" s="20"/>
      <c r="D57" s="21">
        <f t="shared" si="1"/>
        <v>0</v>
      </c>
    </row>
    <row r="58" spans="1:4">
      <c r="A58" s="3">
        <v>1.125</v>
      </c>
      <c r="B58" s="3">
        <v>1.1666666666666701</v>
      </c>
      <c r="C58" s="20"/>
      <c r="D58" s="21">
        <f t="shared" si="1"/>
        <v>0</v>
      </c>
    </row>
    <row r="59" spans="1:4">
      <c r="A59" s="3">
        <v>1.1666666666666701</v>
      </c>
      <c r="B59" s="3">
        <v>1.2083333333333299</v>
      </c>
      <c r="C59" s="20"/>
      <c r="D59" s="21">
        <f t="shared" si="1"/>
        <v>0</v>
      </c>
    </row>
    <row r="60" spans="1:4" ht="16" thickBot="1">
      <c r="A60" s="3">
        <v>1.2083333333333299</v>
      </c>
      <c r="B60" s="3">
        <v>1.25</v>
      </c>
      <c r="C60" s="20"/>
      <c r="D60" s="21">
        <f t="shared" si="1"/>
        <v>0</v>
      </c>
    </row>
    <row r="61" spans="1:4" ht="16" thickBot="1">
      <c r="A61" s="2" t="s">
        <v>57</v>
      </c>
      <c r="C61" s="54">
        <f>SUM(C37:C60)</f>
        <v>104</v>
      </c>
      <c r="D61" s="53">
        <f>SUM(D37:D60)</f>
        <v>16</v>
      </c>
    </row>
    <row r="62" spans="1:4"/>
  </sheetData>
  <mergeCells count="3">
    <mergeCell ref="A2:B2"/>
    <mergeCell ref="A5:B5"/>
    <mergeCell ref="A35:B35"/>
  </mergeCells>
  <pageMargins left="0.25" right="0.25" top="0.75" bottom="0.75" header="0.3" footer="0.3"/>
  <pageSetup scale="53" orientation="landscape"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FFE27-D1B5-4126-A51F-2EAFDB5673E2}">
  <dimension ref="B2:K24"/>
  <sheetViews>
    <sheetView workbookViewId="0">
      <selection activeCell="I17" sqref="I17"/>
    </sheetView>
  </sheetViews>
  <sheetFormatPr defaultColWidth="8.58203125" defaultRowHeight="15.5"/>
  <cols>
    <col min="1" max="1" width="8.58203125" style="103"/>
    <col min="2" max="2" width="20.33203125" style="103" bestFit="1" customWidth="1"/>
    <col min="3" max="3" width="12.33203125" style="103" bestFit="1" customWidth="1"/>
    <col min="4" max="4" width="15.08203125" style="103" bestFit="1" customWidth="1"/>
    <col min="5" max="5" width="12.33203125" style="103" bestFit="1" customWidth="1"/>
    <col min="6" max="6" width="8.58203125" style="103"/>
    <col min="7" max="7" width="9" style="103" bestFit="1" customWidth="1"/>
    <col min="8" max="8" width="10.58203125" style="103" bestFit="1" customWidth="1"/>
    <col min="9" max="9" width="13.58203125" style="103" customWidth="1"/>
    <col min="10" max="10" width="14.58203125" style="103" customWidth="1"/>
    <col min="11" max="16384" width="8.58203125" style="103"/>
  </cols>
  <sheetData>
    <row r="2" spans="2:11">
      <c r="C2" s="135" t="s">
        <v>58</v>
      </c>
      <c r="D2" s="135"/>
      <c r="E2" s="135"/>
      <c r="G2" s="136" t="s">
        <v>59</v>
      </c>
      <c r="H2" s="136"/>
      <c r="I2" s="136"/>
      <c r="J2" s="136"/>
    </row>
    <row r="3" spans="2:11" ht="29">
      <c r="C3" s="104" t="s">
        <v>60</v>
      </c>
      <c r="D3" s="104" t="s">
        <v>61</v>
      </c>
      <c r="E3" s="104" t="s">
        <v>62</v>
      </c>
      <c r="G3" s="108" t="s">
        <v>63</v>
      </c>
      <c r="H3" s="108" t="s">
        <v>30</v>
      </c>
      <c r="I3" s="110" t="s">
        <v>64</v>
      </c>
      <c r="J3" s="108" t="s">
        <v>37</v>
      </c>
    </row>
    <row r="4" spans="2:11">
      <c r="C4" s="105">
        <v>4.1900000000000004</v>
      </c>
      <c r="D4" s="105">
        <v>200</v>
      </c>
      <c r="E4" s="106">
        <f>(C4*D4)</f>
        <v>838.00000000000011</v>
      </c>
      <c r="G4" s="105">
        <f>E9</f>
        <v>3600</v>
      </c>
      <c r="H4" s="105">
        <f>E19</f>
        <v>360</v>
      </c>
      <c r="I4" s="105">
        <v>0.48</v>
      </c>
      <c r="J4" s="105">
        <f>(G4+H4)*I4</f>
        <v>1900.8</v>
      </c>
    </row>
    <row r="7" spans="2:11">
      <c r="B7" s="135" t="s">
        <v>65</v>
      </c>
      <c r="C7" s="135"/>
      <c r="D7" s="135"/>
      <c r="E7" s="135"/>
      <c r="G7" s="136" t="s">
        <v>66</v>
      </c>
      <c r="H7" s="136"/>
      <c r="I7" s="136"/>
      <c r="J7" s="136"/>
    </row>
    <row r="8" spans="2:11" ht="29">
      <c r="B8" s="108" t="s">
        <v>67</v>
      </c>
      <c r="C8" s="108" t="s">
        <v>68</v>
      </c>
      <c r="D8" s="108" t="s">
        <v>69</v>
      </c>
      <c r="E8" s="108" t="s">
        <v>70</v>
      </c>
      <c r="G8" s="108" t="s">
        <v>63</v>
      </c>
      <c r="H8" s="108" t="s">
        <v>30</v>
      </c>
      <c r="I8" s="110" t="s">
        <v>64</v>
      </c>
      <c r="J8" s="108" t="s">
        <v>37</v>
      </c>
    </row>
    <row r="9" spans="2:11">
      <c r="B9" s="105">
        <v>180</v>
      </c>
      <c r="C9" s="105">
        <v>5</v>
      </c>
      <c r="D9" s="105">
        <v>4</v>
      </c>
      <c r="E9" s="109">
        <f>(B9*C9*D9)</f>
        <v>3600</v>
      </c>
      <c r="G9" s="105">
        <f>E14</f>
        <v>832</v>
      </c>
      <c r="H9" s="105">
        <f>E24</f>
        <v>128</v>
      </c>
      <c r="I9" s="105">
        <v>0.48</v>
      </c>
      <c r="J9" s="105">
        <f>(G9+H9)*I9</f>
        <v>460.79999999999995</v>
      </c>
    </row>
    <row r="10" spans="2:11">
      <c r="E10" s="107"/>
    </row>
    <row r="12" spans="2:11">
      <c r="B12" s="135" t="s">
        <v>71</v>
      </c>
      <c r="C12" s="135"/>
      <c r="D12" s="135"/>
      <c r="E12" s="135"/>
    </row>
    <row r="13" spans="2:11">
      <c r="B13" s="108" t="s">
        <v>72</v>
      </c>
      <c r="C13" s="108" t="s">
        <v>73</v>
      </c>
      <c r="D13" s="108" t="s">
        <v>69</v>
      </c>
      <c r="E13" s="108" t="s">
        <v>70</v>
      </c>
    </row>
    <row r="14" spans="2:11">
      <c r="B14" s="105">
        <v>104</v>
      </c>
      <c r="C14" s="105">
        <v>2</v>
      </c>
      <c r="D14" s="105">
        <v>4</v>
      </c>
      <c r="E14" s="109">
        <f>(B14*C14*D14)</f>
        <v>832</v>
      </c>
    </row>
    <row r="15" spans="2:11">
      <c r="G15" s="136" t="s">
        <v>74</v>
      </c>
      <c r="H15" s="136"/>
      <c r="I15" s="136"/>
      <c r="J15" s="136"/>
      <c r="K15" s="136"/>
    </row>
    <row r="16" spans="2:11" ht="29.15" customHeight="1">
      <c r="G16" s="108" t="s">
        <v>63</v>
      </c>
      <c r="H16" s="108" t="s">
        <v>30</v>
      </c>
      <c r="I16" s="110" t="s">
        <v>64</v>
      </c>
      <c r="J16" s="110" t="s">
        <v>75</v>
      </c>
      <c r="K16" s="108" t="s">
        <v>37</v>
      </c>
    </row>
    <row r="17" spans="2:11">
      <c r="B17" s="135" t="s">
        <v>76</v>
      </c>
      <c r="C17" s="135"/>
      <c r="D17" s="135"/>
      <c r="E17" s="135"/>
      <c r="G17" s="105">
        <f>E9</f>
        <v>3600</v>
      </c>
      <c r="H17" s="105">
        <f>E19</f>
        <v>360</v>
      </c>
      <c r="I17" s="105">
        <v>0.48</v>
      </c>
      <c r="J17" s="105">
        <v>2.5000000000000001E-2</v>
      </c>
      <c r="K17" s="105">
        <f>(G17*I17)+(H17*J17)</f>
        <v>1737</v>
      </c>
    </row>
    <row r="18" spans="2:11">
      <c r="B18" s="108" t="s">
        <v>30</v>
      </c>
      <c r="C18" s="108" t="s">
        <v>68</v>
      </c>
      <c r="D18" s="108" t="s">
        <v>77</v>
      </c>
      <c r="E18" s="108" t="s">
        <v>78</v>
      </c>
    </row>
    <row r="19" spans="2:11">
      <c r="B19" s="105">
        <v>18</v>
      </c>
      <c r="C19" s="105">
        <v>5</v>
      </c>
      <c r="D19" s="105">
        <v>4</v>
      </c>
      <c r="E19" s="109">
        <f>(B19*C19*D19)</f>
        <v>360</v>
      </c>
    </row>
    <row r="20" spans="2:11">
      <c r="E20" s="107"/>
      <c r="G20" s="136" t="s">
        <v>79</v>
      </c>
      <c r="H20" s="136"/>
      <c r="I20" s="136"/>
      <c r="J20" s="136"/>
      <c r="K20" s="136"/>
    </row>
    <row r="21" spans="2:11" ht="29">
      <c r="G21" s="108" t="s">
        <v>63</v>
      </c>
      <c r="H21" s="108" t="s">
        <v>30</v>
      </c>
      <c r="I21" s="110" t="s">
        <v>64</v>
      </c>
      <c r="J21" s="110" t="s">
        <v>75</v>
      </c>
      <c r="K21" s="108" t="s">
        <v>37</v>
      </c>
    </row>
    <row r="22" spans="2:11">
      <c r="B22" s="135" t="s">
        <v>80</v>
      </c>
      <c r="C22" s="135"/>
      <c r="D22" s="135"/>
      <c r="E22" s="135"/>
      <c r="G22" s="105">
        <f>E14</f>
        <v>832</v>
      </c>
      <c r="H22" s="105">
        <f>E24</f>
        <v>128</v>
      </c>
      <c r="I22" s="105">
        <v>0.48</v>
      </c>
      <c r="J22" s="105">
        <v>2.5000000000000001E-2</v>
      </c>
      <c r="K22" s="105">
        <f>(G22*I22)+(H22*J22)</f>
        <v>402.56</v>
      </c>
    </row>
    <row r="23" spans="2:11">
      <c r="B23" s="108" t="s">
        <v>30</v>
      </c>
      <c r="C23" s="108" t="s">
        <v>81</v>
      </c>
      <c r="D23" s="108" t="s">
        <v>77</v>
      </c>
      <c r="E23" s="108" t="s">
        <v>78</v>
      </c>
    </row>
    <row r="24" spans="2:11">
      <c r="B24" s="105">
        <v>16</v>
      </c>
      <c r="C24" s="105">
        <v>2</v>
      </c>
      <c r="D24" s="105">
        <v>4</v>
      </c>
      <c r="E24" s="109">
        <f>(B24*C24*D24)</f>
        <v>128</v>
      </c>
    </row>
  </sheetData>
  <mergeCells count="9">
    <mergeCell ref="B22:E22"/>
    <mergeCell ref="G2:J2"/>
    <mergeCell ref="G7:J7"/>
    <mergeCell ref="G15:K15"/>
    <mergeCell ref="G20:K20"/>
    <mergeCell ref="C2:E2"/>
    <mergeCell ref="B7:E7"/>
    <mergeCell ref="B12:E12"/>
    <mergeCell ref="B17:E1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CDE58-02FE-794B-94CF-EBE21E298B02}">
  <dimension ref="A1:N31"/>
  <sheetViews>
    <sheetView topLeftCell="K1" workbookViewId="0">
      <selection activeCell="N1" sqref="N1:N22"/>
    </sheetView>
  </sheetViews>
  <sheetFormatPr defaultColWidth="10.58203125" defaultRowHeight="15.5"/>
  <cols>
    <col min="1" max="1" width="20.33203125" customWidth="1"/>
    <col min="2" max="2" width="20.08203125" bestFit="1" customWidth="1"/>
    <col min="3" max="4" width="20.08203125" customWidth="1"/>
    <col min="5" max="5" width="20.08203125" bestFit="1" customWidth="1"/>
    <col min="6" max="6" width="19.58203125" bestFit="1" customWidth="1"/>
    <col min="7" max="7" width="20.08203125" bestFit="1" customWidth="1"/>
    <col min="8" max="8" width="20.58203125" bestFit="1" customWidth="1"/>
    <col min="9" max="9" width="20.08203125" bestFit="1" customWidth="1"/>
    <col min="10" max="10" width="21.5" customWidth="1"/>
    <col min="11" max="11" width="22.83203125" customWidth="1"/>
    <col min="12" max="12" width="20.58203125" customWidth="1"/>
    <col min="13" max="13" width="20.08203125" bestFit="1" customWidth="1"/>
    <col min="14" max="14" width="23.08203125" bestFit="1" customWidth="1"/>
  </cols>
  <sheetData>
    <row r="1" spans="1:14">
      <c r="A1" s="86" t="s">
        <v>82</v>
      </c>
      <c r="B1" s="87" t="s">
        <v>83</v>
      </c>
      <c r="C1" s="87" t="s">
        <v>84</v>
      </c>
      <c r="D1" s="87" t="s">
        <v>85</v>
      </c>
      <c r="E1" s="87" t="s">
        <v>86</v>
      </c>
      <c r="F1" s="87" t="s">
        <v>87</v>
      </c>
      <c r="G1" s="87" t="s">
        <v>88</v>
      </c>
      <c r="H1" s="87" t="s">
        <v>89</v>
      </c>
      <c r="I1" s="87" t="s">
        <v>90</v>
      </c>
      <c r="J1" s="87" t="s">
        <v>15</v>
      </c>
      <c r="K1" s="87" t="s">
        <v>91</v>
      </c>
      <c r="L1" s="87" t="s">
        <v>92</v>
      </c>
      <c r="M1" s="87" t="s">
        <v>93</v>
      </c>
      <c r="N1" s="87" t="s">
        <v>94</v>
      </c>
    </row>
    <row r="2" spans="1:14">
      <c r="A2" s="77" t="s">
        <v>95</v>
      </c>
      <c r="B2" s="77" t="s">
        <v>95</v>
      </c>
      <c r="C2" s="77" t="s">
        <v>95</v>
      </c>
      <c r="D2" s="77" t="s">
        <v>95</v>
      </c>
      <c r="E2" s="77" t="s">
        <v>95</v>
      </c>
      <c r="F2" s="77" t="s">
        <v>95</v>
      </c>
      <c r="G2" s="77" t="s">
        <v>95</v>
      </c>
      <c r="H2" s="77" t="s">
        <v>95</v>
      </c>
      <c r="I2" s="77" t="s">
        <v>95</v>
      </c>
      <c r="J2" s="77" t="s">
        <v>95</v>
      </c>
      <c r="K2" s="77" t="s">
        <v>95</v>
      </c>
      <c r="L2" s="77" t="s">
        <v>95</v>
      </c>
      <c r="M2" s="77" t="s">
        <v>95</v>
      </c>
      <c r="N2" s="77" t="s">
        <v>95</v>
      </c>
    </row>
    <row r="3" spans="1:14">
      <c r="A3" s="78" t="s">
        <v>96</v>
      </c>
      <c r="B3" s="78" t="s">
        <v>96</v>
      </c>
      <c r="C3" s="78" t="s">
        <v>96</v>
      </c>
      <c r="D3" s="78" t="s">
        <v>96</v>
      </c>
      <c r="E3" s="78" t="s">
        <v>96</v>
      </c>
      <c r="F3" s="78" t="s">
        <v>96</v>
      </c>
      <c r="G3" s="78" t="s">
        <v>96</v>
      </c>
      <c r="H3" s="78" t="s">
        <v>96</v>
      </c>
      <c r="I3" s="78" t="s">
        <v>96</v>
      </c>
      <c r="J3" s="78" t="s">
        <v>96</v>
      </c>
      <c r="K3" s="78" t="s">
        <v>96</v>
      </c>
      <c r="L3" s="78" t="s">
        <v>96</v>
      </c>
      <c r="M3" s="78" t="s">
        <v>96</v>
      </c>
      <c r="N3" s="78" t="s">
        <v>96</v>
      </c>
    </row>
    <row r="4" spans="1:14">
      <c r="A4" s="79" t="s">
        <v>97</v>
      </c>
      <c r="B4" s="79" t="s">
        <v>97</v>
      </c>
      <c r="C4" s="79" t="s">
        <v>97</v>
      </c>
      <c r="D4" s="79" t="s">
        <v>97</v>
      </c>
      <c r="E4" s="79" t="s">
        <v>97</v>
      </c>
      <c r="F4" s="79" t="s">
        <v>97</v>
      </c>
      <c r="G4" s="79" t="s">
        <v>97</v>
      </c>
      <c r="H4" s="79" t="s">
        <v>97</v>
      </c>
      <c r="I4" s="79" t="s">
        <v>97</v>
      </c>
      <c r="J4" s="79" t="s">
        <v>97</v>
      </c>
      <c r="K4" s="79" t="s">
        <v>97</v>
      </c>
      <c r="L4" s="79" t="s">
        <v>97</v>
      </c>
      <c r="M4" s="79" t="s">
        <v>97</v>
      </c>
      <c r="N4" s="79" t="s">
        <v>97</v>
      </c>
    </row>
    <row r="5" spans="1:14">
      <c r="A5" s="79" t="s">
        <v>98</v>
      </c>
      <c r="B5" s="79" t="s">
        <v>98</v>
      </c>
      <c r="C5" s="79" t="s">
        <v>98</v>
      </c>
      <c r="D5" s="79" t="s">
        <v>98</v>
      </c>
      <c r="E5" s="79" t="s">
        <v>98</v>
      </c>
      <c r="F5" s="79" t="s">
        <v>98</v>
      </c>
      <c r="G5" s="79" t="s">
        <v>98</v>
      </c>
      <c r="H5" s="79" t="s">
        <v>98</v>
      </c>
      <c r="I5" s="79" t="s">
        <v>98</v>
      </c>
      <c r="J5" s="79" t="s">
        <v>98</v>
      </c>
      <c r="K5" s="79" t="s">
        <v>98</v>
      </c>
      <c r="L5" s="79" t="s">
        <v>98</v>
      </c>
      <c r="M5" s="79" t="s">
        <v>98</v>
      </c>
      <c r="N5" s="79" t="s">
        <v>98</v>
      </c>
    </row>
    <row r="6" spans="1:14">
      <c r="A6" s="79" t="s">
        <v>17</v>
      </c>
      <c r="B6" s="79" t="s">
        <v>17</v>
      </c>
      <c r="C6" s="79" t="s">
        <v>17</v>
      </c>
      <c r="D6" s="79" t="s">
        <v>17</v>
      </c>
      <c r="E6" s="79" t="s">
        <v>17</v>
      </c>
      <c r="F6" s="79" t="s">
        <v>17</v>
      </c>
      <c r="G6" s="79" t="s">
        <v>17</v>
      </c>
      <c r="H6" s="79" t="s">
        <v>17</v>
      </c>
      <c r="I6" s="79" t="s">
        <v>17</v>
      </c>
      <c r="J6" s="79" t="s">
        <v>17</v>
      </c>
      <c r="K6" s="79" t="s">
        <v>17</v>
      </c>
      <c r="L6" s="79" t="s">
        <v>17</v>
      </c>
      <c r="M6" s="79" t="s">
        <v>17</v>
      </c>
      <c r="N6" s="79" t="s">
        <v>17</v>
      </c>
    </row>
    <row r="7" spans="1:14">
      <c r="A7" s="78" t="s">
        <v>99</v>
      </c>
      <c r="B7" s="78" t="s">
        <v>99</v>
      </c>
      <c r="C7" s="78" t="s">
        <v>99</v>
      </c>
      <c r="D7" s="78" t="s">
        <v>99</v>
      </c>
      <c r="E7" s="78" t="s">
        <v>99</v>
      </c>
      <c r="F7" s="78" t="s">
        <v>99</v>
      </c>
      <c r="G7" s="78" t="s">
        <v>99</v>
      </c>
      <c r="H7" s="78" t="s">
        <v>99</v>
      </c>
      <c r="I7" s="78" t="s">
        <v>99</v>
      </c>
      <c r="J7" s="78" t="s">
        <v>99</v>
      </c>
      <c r="K7" s="78" t="s">
        <v>99</v>
      </c>
      <c r="L7" s="78" t="s">
        <v>99</v>
      </c>
      <c r="M7" s="78" t="s">
        <v>99</v>
      </c>
      <c r="N7" s="78" t="s">
        <v>99</v>
      </c>
    </row>
    <row r="8" spans="1:14">
      <c r="A8" s="79" t="s">
        <v>100</v>
      </c>
      <c r="B8" s="79" t="s">
        <v>100</v>
      </c>
      <c r="C8" s="79" t="s">
        <v>100</v>
      </c>
      <c r="D8" s="79" t="s">
        <v>100</v>
      </c>
      <c r="E8" s="79" t="s">
        <v>100</v>
      </c>
      <c r="F8" s="79" t="s">
        <v>100</v>
      </c>
      <c r="G8" s="79" t="s">
        <v>100</v>
      </c>
      <c r="H8" s="79" t="s">
        <v>100</v>
      </c>
      <c r="I8" s="79" t="s">
        <v>100</v>
      </c>
      <c r="J8" s="79" t="s">
        <v>100</v>
      </c>
      <c r="K8" s="79" t="s">
        <v>100</v>
      </c>
      <c r="L8" s="79" t="s">
        <v>100</v>
      </c>
      <c r="M8" s="79" t="s">
        <v>100</v>
      </c>
      <c r="N8" s="79" t="s">
        <v>100</v>
      </c>
    </row>
    <row r="9" spans="1:14">
      <c r="A9" s="78" t="s">
        <v>101</v>
      </c>
      <c r="B9" s="78" t="s">
        <v>101</v>
      </c>
      <c r="C9" s="78" t="s">
        <v>101</v>
      </c>
      <c r="D9" s="78" t="s">
        <v>101</v>
      </c>
      <c r="E9" s="78" t="s">
        <v>101</v>
      </c>
      <c r="F9" s="78" t="s">
        <v>101</v>
      </c>
      <c r="G9" s="78" t="s">
        <v>101</v>
      </c>
      <c r="H9" s="78" t="s">
        <v>101</v>
      </c>
      <c r="I9" s="78" t="s">
        <v>101</v>
      </c>
      <c r="J9" s="78" t="s">
        <v>101</v>
      </c>
      <c r="K9" s="78" t="s">
        <v>101</v>
      </c>
      <c r="L9" s="78" t="s">
        <v>101</v>
      </c>
      <c r="M9" s="78" t="s">
        <v>101</v>
      </c>
      <c r="N9" s="78" t="s">
        <v>101</v>
      </c>
    </row>
    <row r="10" spans="1:14">
      <c r="A10" s="79" t="s">
        <v>102</v>
      </c>
      <c r="B10" s="79" t="s">
        <v>102</v>
      </c>
      <c r="C10" s="79" t="s">
        <v>102</v>
      </c>
      <c r="D10" s="79" t="s">
        <v>102</v>
      </c>
      <c r="E10" s="79" t="s">
        <v>102</v>
      </c>
      <c r="F10" s="79" t="s">
        <v>102</v>
      </c>
      <c r="G10" s="79" t="s">
        <v>102</v>
      </c>
      <c r="H10" s="79" t="s">
        <v>102</v>
      </c>
      <c r="I10" s="79" t="s">
        <v>102</v>
      </c>
      <c r="J10" s="79" t="s">
        <v>102</v>
      </c>
      <c r="K10" s="79" t="s">
        <v>102</v>
      </c>
      <c r="L10" s="79" t="s">
        <v>102</v>
      </c>
      <c r="M10" s="79" t="s">
        <v>102</v>
      </c>
      <c r="N10" s="79" t="s">
        <v>102</v>
      </c>
    </row>
    <row r="11" spans="1:14">
      <c r="A11" s="78" t="s">
        <v>103</v>
      </c>
      <c r="B11" s="78" t="s">
        <v>103</v>
      </c>
      <c r="C11" s="78" t="s">
        <v>103</v>
      </c>
      <c r="D11" s="78" t="s">
        <v>103</v>
      </c>
      <c r="E11" s="78" t="s">
        <v>103</v>
      </c>
      <c r="F11" s="78" t="s">
        <v>103</v>
      </c>
      <c r="G11" s="78" t="s">
        <v>103</v>
      </c>
      <c r="H11" s="78" t="s">
        <v>103</v>
      </c>
      <c r="I11" s="78" t="s">
        <v>103</v>
      </c>
      <c r="J11" s="78" t="s">
        <v>103</v>
      </c>
      <c r="K11" s="78" t="s">
        <v>103</v>
      </c>
      <c r="L11" s="78" t="s">
        <v>103</v>
      </c>
      <c r="M11" s="78" t="s">
        <v>103</v>
      </c>
      <c r="N11" s="78" t="s">
        <v>103</v>
      </c>
    </row>
    <row r="12" spans="1:14">
      <c r="A12" s="79" t="s">
        <v>104</v>
      </c>
      <c r="B12" s="79" t="s">
        <v>104</v>
      </c>
      <c r="C12" s="79" t="s">
        <v>104</v>
      </c>
      <c r="D12" s="79" t="s">
        <v>104</v>
      </c>
      <c r="E12" s="79" t="s">
        <v>104</v>
      </c>
      <c r="F12" s="79" t="s">
        <v>104</v>
      </c>
      <c r="G12" s="79" t="s">
        <v>104</v>
      </c>
      <c r="H12" s="79" t="s">
        <v>104</v>
      </c>
      <c r="I12" s="79" t="s">
        <v>104</v>
      </c>
      <c r="J12" s="79" t="s">
        <v>104</v>
      </c>
      <c r="K12" s="79" t="s">
        <v>104</v>
      </c>
      <c r="L12" s="79" t="s">
        <v>104</v>
      </c>
      <c r="M12" s="79" t="s">
        <v>104</v>
      </c>
      <c r="N12" s="79" t="s">
        <v>104</v>
      </c>
    </row>
    <row r="13" spans="1:14">
      <c r="A13" s="78" t="s">
        <v>105</v>
      </c>
      <c r="B13" s="78" t="s">
        <v>105</v>
      </c>
      <c r="C13" s="78" t="s">
        <v>105</v>
      </c>
      <c r="D13" s="78" t="s">
        <v>105</v>
      </c>
      <c r="E13" s="78" t="s">
        <v>105</v>
      </c>
      <c r="F13" s="78" t="s">
        <v>105</v>
      </c>
      <c r="G13" s="78" t="s">
        <v>105</v>
      </c>
      <c r="H13" s="78" t="s">
        <v>105</v>
      </c>
      <c r="I13" s="78" t="s">
        <v>105</v>
      </c>
      <c r="J13" s="78" t="s">
        <v>105</v>
      </c>
      <c r="K13" s="78" t="s">
        <v>105</v>
      </c>
      <c r="L13" s="78" t="s">
        <v>105</v>
      </c>
      <c r="M13" s="78" t="s">
        <v>105</v>
      </c>
      <c r="N13" s="78" t="s">
        <v>105</v>
      </c>
    </row>
    <row r="14" spans="1:14">
      <c r="A14" s="79" t="s">
        <v>106</v>
      </c>
      <c r="B14" s="79" t="s">
        <v>106</v>
      </c>
      <c r="C14" s="79" t="s">
        <v>106</v>
      </c>
      <c r="D14" s="79" t="s">
        <v>106</v>
      </c>
      <c r="E14" s="79" t="s">
        <v>106</v>
      </c>
      <c r="F14" s="79" t="s">
        <v>106</v>
      </c>
      <c r="G14" s="79" t="s">
        <v>107</v>
      </c>
      <c r="H14" s="79" t="s">
        <v>106</v>
      </c>
      <c r="I14" s="79" t="s">
        <v>106</v>
      </c>
      <c r="J14" s="79" t="s">
        <v>106</v>
      </c>
      <c r="K14" s="79" t="s">
        <v>106</v>
      </c>
      <c r="L14" s="79" t="s">
        <v>106</v>
      </c>
      <c r="M14" s="79" t="s">
        <v>106</v>
      </c>
      <c r="N14" s="79" t="s">
        <v>106</v>
      </c>
    </row>
    <row r="15" spans="1:14">
      <c r="A15" s="78" t="s">
        <v>108</v>
      </c>
      <c r="B15" s="78" t="s">
        <v>108</v>
      </c>
      <c r="C15" s="78" t="s">
        <v>108</v>
      </c>
      <c r="D15" s="78" t="s">
        <v>108</v>
      </c>
      <c r="E15" s="78" t="s">
        <v>108</v>
      </c>
      <c r="F15" s="78" t="s">
        <v>108</v>
      </c>
      <c r="G15" s="78" t="s">
        <v>109</v>
      </c>
      <c r="H15" s="78" t="s">
        <v>108</v>
      </c>
      <c r="I15" s="78" t="s">
        <v>108</v>
      </c>
      <c r="J15" s="78" t="s">
        <v>108</v>
      </c>
      <c r="K15" s="78" t="s">
        <v>108</v>
      </c>
      <c r="L15" s="78" t="s">
        <v>108</v>
      </c>
      <c r="M15" s="78" t="s">
        <v>108</v>
      </c>
      <c r="N15" s="78" t="s">
        <v>108</v>
      </c>
    </row>
    <row r="16" spans="1:14">
      <c r="A16" s="79" t="s">
        <v>110</v>
      </c>
      <c r="B16" s="79" t="s">
        <v>110</v>
      </c>
      <c r="C16" s="79" t="s">
        <v>110</v>
      </c>
      <c r="D16" s="79" t="s">
        <v>110</v>
      </c>
      <c r="E16" s="79" t="s">
        <v>110</v>
      </c>
      <c r="F16" s="79" t="s">
        <v>110</v>
      </c>
      <c r="G16" s="79" t="s">
        <v>111</v>
      </c>
      <c r="H16" s="79" t="s">
        <v>110</v>
      </c>
      <c r="I16" s="79" t="s">
        <v>110</v>
      </c>
      <c r="J16" s="79" t="s">
        <v>110</v>
      </c>
      <c r="K16" s="79" t="s">
        <v>110</v>
      </c>
      <c r="L16" s="79" t="s">
        <v>110</v>
      </c>
      <c r="M16" s="79" t="s">
        <v>110</v>
      </c>
      <c r="N16" s="79" t="s">
        <v>110</v>
      </c>
    </row>
    <row r="17" spans="1:14">
      <c r="A17" s="78" t="s">
        <v>107</v>
      </c>
      <c r="B17" s="78" t="s">
        <v>107</v>
      </c>
      <c r="C17" s="78" t="s">
        <v>107</v>
      </c>
      <c r="D17" s="78" t="s">
        <v>112</v>
      </c>
      <c r="E17" s="78" t="s">
        <v>107</v>
      </c>
      <c r="F17" s="78" t="s">
        <v>107</v>
      </c>
      <c r="G17" s="78" t="s">
        <v>113</v>
      </c>
      <c r="H17" s="78" t="s">
        <v>107</v>
      </c>
      <c r="I17" s="78" t="s">
        <v>107</v>
      </c>
      <c r="J17" s="78" t="s">
        <v>107</v>
      </c>
      <c r="K17" s="78" t="s">
        <v>107</v>
      </c>
      <c r="L17" s="78" t="s">
        <v>107</v>
      </c>
      <c r="M17" s="78" t="s">
        <v>112</v>
      </c>
      <c r="N17" s="78" t="s">
        <v>112</v>
      </c>
    </row>
    <row r="18" spans="1:14">
      <c r="A18" s="79" t="s">
        <v>109</v>
      </c>
      <c r="B18" s="79" t="s">
        <v>109</v>
      </c>
      <c r="C18" s="79" t="s">
        <v>109</v>
      </c>
      <c r="D18" s="79" t="s">
        <v>114</v>
      </c>
      <c r="E18" s="79" t="s">
        <v>109</v>
      </c>
      <c r="F18" s="79" t="s">
        <v>109</v>
      </c>
      <c r="G18" s="79" t="s">
        <v>115</v>
      </c>
      <c r="H18" s="79" t="s">
        <v>109</v>
      </c>
      <c r="I18" s="79" t="s">
        <v>109</v>
      </c>
      <c r="J18" s="79" t="s">
        <v>109</v>
      </c>
      <c r="K18" s="79" t="s">
        <v>109</v>
      </c>
      <c r="L18" s="79" t="s">
        <v>109</v>
      </c>
      <c r="M18" s="79" t="s">
        <v>114</v>
      </c>
      <c r="N18" s="79" t="s">
        <v>114</v>
      </c>
    </row>
    <row r="19" spans="1:14">
      <c r="A19" s="78" t="s">
        <v>111</v>
      </c>
      <c r="B19" s="78" t="s">
        <v>111</v>
      </c>
      <c r="C19" s="78" t="s">
        <v>111</v>
      </c>
      <c r="D19" s="78" t="s">
        <v>116</v>
      </c>
      <c r="E19" s="78" t="s">
        <v>111</v>
      </c>
      <c r="F19" s="78" t="s">
        <v>111</v>
      </c>
      <c r="G19" s="78" t="s">
        <v>117</v>
      </c>
      <c r="H19" s="78" t="s">
        <v>111</v>
      </c>
      <c r="I19" s="78" t="s">
        <v>111</v>
      </c>
      <c r="J19" s="78" t="s">
        <v>111</v>
      </c>
      <c r="K19" s="78" t="s">
        <v>111</v>
      </c>
      <c r="L19" s="78" t="s">
        <v>111</v>
      </c>
      <c r="M19" s="78" t="s">
        <v>116</v>
      </c>
      <c r="N19" s="78" t="s">
        <v>116</v>
      </c>
    </row>
    <row r="20" spans="1:14">
      <c r="A20" s="79" t="s">
        <v>113</v>
      </c>
      <c r="B20" s="79" t="s">
        <v>113</v>
      </c>
      <c r="C20" s="79" t="s">
        <v>113</v>
      </c>
      <c r="D20" s="79" t="s">
        <v>118</v>
      </c>
      <c r="E20" s="79" t="s">
        <v>113</v>
      </c>
      <c r="F20" s="79" t="s">
        <v>113</v>
      </c>
      <c r="G20" s="79" t="s">
        <v>112</v>
      </c>
      <c r="H20" s="79" t="s">
        <v>113</v>
      </c>
      <c r="I20" s="79" t="s">
        <v>113</v>
      </c>
      <c r="J20" s="79" t="s">
        <v>113</v>
      </c>
      <c r="K20" s="79" t="s">
        <v>113</v>
      </c>
      <c r="L20" s="79" t="s">
        <v>113</v>
      </c>
      <c r="M20" s="79" t="s">
        <v>118</v>
      </c>
      <c r="N20" s="79" t="s">
        <v>118</v>
      </c>
    </row>
    <row r="21" spans="1:14">
      <c r="A21" s="78" t="s">
        <v>115</v>
      </c>
      <c r="B21" s="78" t="s">
        <v>115</v>
      </c>
      <c r="C21" s="78" t="s">
        <v>115</v>
      </c>
      <c r="D21" s="78" t="s">
        <v>119</v>
      </c>
      <c r="E21" s="78" t="s">
        <v>115</v>
      </c>
      <c r="F21" s="78" t="s">
        <v>115</v>
      </c>
      <c r="G21" s="78" t="s">
        <v>114</v>
      </c>
      <c r="H21" s="78" t="s">
        <v>115</v>
      </c>
      <c r="I21" s="78" t="s">
        <v>115</v>
      </c>
      <c r="J21" s="78" t="s">
        <v>115</v>
      </c>
      <c r="K21" s="78" t="s">
        <v>115</v>
      </c>
      <c r="L21" s="78" t="s">
        <v>115</v>
      </c>
      <c r="M21" s="78" t="s">
        <v>120</v>
      </c>
      <c r="N21" s="78" t="s">
        <v>120</v>
      </c>
    </row>
    <row r="22" spans="1:14">
      <c r="A22" s="79" t="s">
        <v>117</v>
      </c>
      <c r="B22" s="79" t="s">
        <v>117</v>
      </c>
      <c r="C22" s="79" t="s">
        <v>117</v>
      </c>
      <c r="D22" s="79" t="s">
        <v>121</v>
      </c>
      <c r="E22" s="79" t="s">
        <v>117</v>
      </c>
      <c r="F22" s="79" t="s">
        <v>117</v>
      </c>
      <c r="G22" s="79" t="s">
        <v>116</v>
      </c>
      <c r="H22" s="79" t="s">
        <v>117</v>
      </c>
      <c r="I22" s="79" t="s">
        <v>117</v>
      </c>
      <c r="J22" s="79" t="s">
        <v>117</v>
      </c>
      <c r="K22" s="79" t="s">
        <v>117</v>
      </c>
      <c r="L22" s="79" t="s">
        <v>117</v>
      </c>
      <c r="M22" s="79" t="s">
        <v>122</v>
      </c>
      <c r="N22" s="79" t="s">
        <v>122</v>
      </c>
    </row>
    <row r="23" spans="1:14">
      <c r="A23" s="78" t="s">
        <v>112</v>
      </c>
      <c r="B23" s="78" t="s">
        <v>112</v>
      </c>
      <c r="C23" s="78" t="s">
        <v>112</v>
      </c>
      <c r="D23" s="78" t="s">
        <v>123</v>
      </c>
      <c r="E23" s="78" t="s">
        <v>112</v>
      </c>
      <c r="F23" s="78" t="s">
        <v>112</v>
      </c>
      <c r="G23" s="78" t="s">
        <v>118</v>
      </c>
      <c r="H23" s="78" t="s">
        <v>112</v>
      </c>
      <c r="I23" s="78" t="s">
        <v>112</v>
      </c>
      <c r="J23" s="78" t="s">
        <v>112</v>
      </c>
      <c r="K23" s="78" t="s">
        <v>112</v>
      </c>
      <c r="L23" s="78" t="s">
        <v>112</v>
      </c>
      <c r="M23" s="78" t="s">
        <v>119</v>
      </c>
      <c r="N23" s="82"/>
    </row>
    <row r="24" spans="1:14">
      <c r="A24" s="79" t="s">
        <v>114</v>
      </c>
      <c r="B24" s="79" t="s">
        <v>114</v>
      </c>
      <c r="C24" s="79" t="s">
        <v>114</v>
      </c>
      <c r="D24" s="94"/>
      <c r="E24" s="79" t="s">
        <v>114</v>
      </c>
      <c r="F24" s="79" t="s">
        <v>114</v>
      </c>
      <c r="G24" s="79" t="s">
        <v>120</v>
      </c>
      <c r="H24" s="79" t="s">
        <v>114</v>
      </c>
      <c r="I24" s="79" t="s">
        <v>114</v>
      </c>
      <c r="J24" s="79" t="s">
        <v>114</v>
      </c>
      <c r="K24" s="79" t="s">
        <v>114</v>
      </c>
      <c r="L24" s="79" t="s">
        <v>114</v>
      </c>
      <c r="M24" s="79" t="s">
        <v>121</v>
      </c>
      <c r="N24" s="83"/>
    </row>
    <row r="25" spans="1:14">
      <c r="A25" s="78" t="s">
        <v>116</v>
      </c>
      <c r="B25" s="78" t="s">
        <v>116</v>
      </c>
      <c r="C25" s="78" t="s">
        <v>116</v>
      </c>
      <c r="D25" s="95"/>
      <c r="E25" s="78" t="s">
        <v>116</v>
      </c>
      <c r="F25" s="78" t="s">
        <v>116</v>
      </c>
      <c r="G25" s="78" t="s">
        <v>122</v>
      </c>
      <c r="H25" s="78" t="s">
        <v>116</v>
      </c>
      <c r="I25" s="78" t="s">
        <v>116</v>
      </c>
      <c r="J25" s="78" t="s">
        <v>116</v>
      </c>
      <c r="K25" s="78" t="s">
        <v>116</v>
      </c>
      <c r="L25" s="78" t="s">
        <v>116</v>
      </c>
      <c r="M25" s="78" t="s">
        <v>123</v>
      </c>
      <c r="N25" s="84"/>
    </row>
    <row r="26" spans="1:14">
      <c r="A26" s="79" t="s">
        <v>118</v>
      </c>
      <c r="B26" s="79" t="s">
        <v>118</v>
      </c>
      <c r="C26" s="79" t="s">
        <v>118</v>
      </c>
      <c r="D26" s="79"/>
      <c r="E26" s="79" t="s">
        <v>118</v>
      </c>
      <c r="F26" s="79" t="s">
        <v>118</v>
      </c>
      <c r="G26" s="79"/>
      <c r="H26" s="79" t="s">
        <v>118</v>
      </c>
      <c r="I26" s="79" t="s">
        <v>118</v>
      </c>
      <c r="J26" s="79" t="s">
        <v>118</v>
      </c>
      <c r="K26" s="79" t="s">
        <v>118</v>
      </c>
      <c r="L26" s="79" t="s">
        <v>118</v>
      </c>
      <c r="M26" s="80"/>
    </row>
    <row r="27" spans="1:14">
      <c r="A27" s="78" t="s">
        <v>120</v>
      </c>
      <c r="B27" s="78" t="s">
        <v>120</v>
      </c>
      <c r="C27" s="78" t="s">
        <v>120</v>
      </c>
      <c r="D27" s="78"/>
      <c r="E27" s="78" t="s">
        <v>120</v>
      </c>
      <c r="F27" s="78" t="s">
        <v>120</v>
      </c>
      <c r="G27" s="78"/>
      <c r="H27" s="78" t="s">
        <v>120</v>
      </c>
      <c r="I27" s="78" t="s">
        <v>120</v>
      </c>
      <c r="J27" s="78" t="s">
        <v>120</v>
      </c>
      <c r="K27" s="78" t="s">
        <v>120</v>
      </c>
      <c r="L27" s="78" t="s">
        <v>120</v>
      </c>
      <c r="M27" s="81"/>
    </row>
    <row r="28" spans="1:14">
      <c r="A28" s="79" t="s">
        <v>122</v>
      </c>
      <c r="B28" s="79" t="s">
        <v>122</v>
      </c>
      <c r="C28" s="79" t="s">
        <v>122</v>
      </c>
      <c r="D28" s="79"/>
      <c r="E28" s="79" t="s">
        <v>122</v>
      </c>
      <c r="F28" s="79" t="s">
        <v>122</v>
      </c>
      <c r="G28" s="79"/>
      <c r="H28" s="79" t="s">
        <v>122</v>
      </c>
      <c r="I28" s="79" t="s">
        <v>122</v>
      </c>
      <c r="J28" s="79" t="s">
        <v>122</v>
      </c>
      <c r="K28" s="79" t="s">
        <v>122</v>
      </c>
      <c r="L28" s="79" t="s">
        <v>122</v>
      </c>
      <c r="M28" s="80"/>
    </row>
    <row r="29" spans="1:14">
      <c r="A29" s="78" t="s">
        <v>119</v>
      </c>
      <c r="B29" s="78" t="s">
        <v>119</v>
      </c>
      <c r="C29" s="78" t="s">
        <v>119</v>
      </c>
      <c r="D29" s="78"/>
      <c r="E29" s="78" t="s">
        <v>119</v>
      </c>
      <c r="F29" s="78" t="s">
        <v>119</v>
      </c>
      <c r="G29" s="78"/>
      <c r="H29" s="78" t="s">
        <v>119</v>
      </c>
      <c r="I29" s="78"/>
      <c r="J29" s="78" t="s">
        <v>119</v>
      </c>
      <c r="K29" s="78" t="s">
        <v>119</v>
      </c>
      <c r="L29" s="82"/>
      <c r="M29" s="81"/>
    </row>
    <row r="30" spans="1:14">
      <c r="A30" s="79" t="s">
        <v>121</v>
      </c>
      <c r="B30" s="79" t="s">
        <v>121</v>
      </c>
      <c r="C30" s="79" t="s">
        <v>121</v>
      </c>
      <c r="D30" s="79"/>
      <c r="E30" s="79" t="s">
        <v>121</v>
      </c>
      <c r="F30" s="79" t="s">
        <v>121</v>
      </c>
      <c r="G30" s="79"/>
      <c r="H30" s="79" t="s">
        <v>121</v>
      </c>
      <c r="I30" s="79"/>
      <c r="J30" s="79" t="s">
        <v>121</v>
      </c>
      <c r="K30" s="79" t="s">
        <v>121</v>
      </c>
      <c r="L30" s="83"/>
      <c r="M30" s="80"/>
    </row>
    <row r="31" spans="1:14">
      <c r="A31" s="78" t="s">
        <v>123</v>
      </c>
      <c r="B31" s="78" t="s">
        <v>123</v>
      </c>
      <c r="C31" s="78" t="s">
        <v>123</v>
      </c>
      <c r="D31" s="78"/>
      <c r="E31" s="78" t="s">
        <v>123</v>
      </c>
      <c r="F31" s="78" t="s">
        <v>123</v>
      </c>
      <c r="G31" s="78"/>
      <c r="H31" s="78" t="s">
        <v>123</v>
      </c>
      <c r="I31" s="78"/>
      <c r="J31" s="78" t="s">
        <v>123</v>
      </c>
      <c r="K31" s="78" t="s">
        <v>123</v>
      </c>
      <c r="L31" s="84"/>
      <c r="M31" s="85"/>
    </row>
  </sheetData>
  <pageMargins left="0.7" right="0.7" top="0.75" bottom="0.75" header="0.3" footer="0.3"/>
  <pageSetup orientation="portrait" horizontalDpi="0" verticalDpi="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5"/>
  <sheetViews>
    <sheetView topLeftCell="K7" workbookViewId="0">
      <selection activeCell="N1" sqref="N1:N22"/>
    </sheetView>
  </sheetViews>
  <sheetFormatPr defaultColWidth="8.83203125" defaultRowHeight="15.5"/>
  <cols>
    <col min="1" max="2" width="20.5" bestFit="1" customWidth="1"/>
    <col min="3" max="3" width="20.5" customWidth="1"/>
    <col min="4" max="5" width="20.5" bestFit="1" customWidth="1"/>
    <col min="6" max="6" width="20" bestFit="1" customWidth="1"/>
    <col min="7" max="7" width="20.5" customWidth="1"/>
    <col min="8" max="8" width="20.5" bestFit="1" customWidth="1"/>
    <col min="9" max="9" width="20.5" customWidth="1"/>
    <col min="10" max="10" width="23" bestFit="1" customWidth="1"/>
    <col min="11" max="11" width="20.58203125" bestFit="1" customWidth="1"/>
    <col min="12" max="12" width="20" bestFit="1" customWidth="1"/>
    <col min="13" max="14" width="25.08203125" bestFit="1" customWidth="1"/>
  </cols>
  <sheetData>
    <row r="1" spans="1:14" s="34" customFormat="1">
      <c r="A1" s="35" t="s">
        <v>82</v>
      </c>
      <c r="B1" s="35" t="s">
        <v>83</v>
      </c>
      <c r="C1" s="35" t="s">
        <v>84</v>
      </c>
      <c r="D1" s="87" t="s">
        <v>85</v>
      </c>
      <c r="E1" s="35" t="s">
        <v>86</v>
      </c>
      <c r="F1" s="35" t="s">
        <v>87</v>
      </c>
      <c r="G1" s="35" t="s">
        <v>88</v>
      </c>
      <c r="H1" s="35" t="s">
        <v>89</v>
      </c>
      <c r="I1" s="35" t="s">
        <v>90</v>
      </c>
      <c r="J1" s="35" t="s">
        <v>15</v>
      </c>
      <c r="K1" s="35" t="s">
        <v>91</v>
      </c>
      <c r="L1" s="35" t="s">
        <v>92</v>
      </c>
      <c r="M1" s="35" t="s">
        <v>93</v>
      </c>
      <c r="N1" s="102" t="s">
        <v>94</v>
      </c>
    </row>
    <row r="2" spans="1:14" s="34" customFormat="1">
      <c r="A2" s="72" t="s">
        <v>95</v>
      </c>
      <c r="B2" s="72" t="s">
        <v>95</v>
      </c>
      <c r="C2" s="72" t="s">
        <v>95</v>
      </c>
      <c r="D2" s="77" t="s">
        <v>95</v>
      </c>
      <c r="E2" s="72" t="s">
        <v>95</v>
      </c>
      <c r="F2" s="72" t="s">
        <v>95</v>
      </c>
      <c r="G2" s="72" t="s">
        <v>95</v>
      </c>
      <c r="H2" s="72" t="s">
        <v>95</v>
      </c>
      <c r="I2" s="72" t="s">
        <v>95</v>
      </c>
      <c r="J2" s="72" t="s">
        <v>95</v>
      </c>
      <c r="K2" s="72" t="s">
        <v>95</v>
      </c>
      <c r="L2" s="72" t="s">
        <v>95</v>
      </c>
      <c r="M2" s="72" t="s">
        <v>95</v>
      </c>
      <c r="N2" s="98" t="s">
        <v>95</v>
      </c>
    </row>
    <row r="3" spans="1:14">
      <c r="A3" s="1" t="s">
        <v>96</v>
      </c>
      <c r="B3" s="1" t="s">
        <v>96</v>
      </c>
      <c r="C3" s="1" t="s">
        <v>96</v>
      </c>
      <c r="D3" s="78" t="s">
        <v>96</v>
      </c>
      <c r="E3" s="1" t="s">
        <v>96</v>
      </c>
      <c r="F3" s="1" t="s">
        <v>96</v>
      </c>
      <c r="G3" s="1" t="s">
        <v>96</v>
      </c>
      <c r="H3" s="1" t="s">
        <v>96</v>
      </c>
      <c r="I3" s="1" t="s">
        <v>96</v>
      </c>
      <c r="J3" s="1" t="s">
        <v>96</v>
      </c>
      <c r="K3" s="1" t="s">
        <v>96</v>
      </c>
      <c r="L3" s="1" t="s">
        <v>96</v>
      </c>
      <c r="M3" s="1" t="s">
        <v>96</v>
      </c>
      <c r="N3" s="99" t="s">
        <v>96</v>
      </c>
    </row>
    <row r="4" spans="1:14" ht="17.149999999999999" customHeight="1">
      <c r="A4" s="1" t="s">
        <v>97</v>
      </c>
      <c r="B4" s="1" t="s">
        <v>97</v>
      </c>
      <c r="C4" s="1" t="s">
        <v>97</v>
      </c>
      <c r="D4" s="79" t="s">
        <v>97</v>
      </c>
      <c r="E4" s="1" t="s">
        <v>97</v>
      </c>
      <c r="F4" s="1" t="s">
        <v>97</v>
      </c>
      <c r="G4" s="1" t="s">
        <v>97</v>
      </c>
      <c r="H4" s="1" t="s">
        <v>97</v>
      </c>
      <c r="I4" s="1" t="s">
        <v>97</v>
      </c>
      <c r="J4" s="1" t="s">
        <v>97</v>
      </c>
      <c r="K4" s="1" t="s">
        <v>97</v>
      </c>
      <c r="L4" s="1" t="s">
        <v>97</v>
      </c>
      <c r="M4" s="1" t="s">
        <v>97</v>
      </c>
      <c r="N4" s="100" t="s">
        <v>97</v>
      </c>
    </row>
    <row r="5" spans="1:14" ht="17.149999999999999" customHeight="1">
      <c r="A5" s="79" t="s">
        <v>98</v>
      </c>
      <c r="B5" s="79" t="s">
        <v>98</v>
      </c>
      <c r="C5" s="79" t="s">
        <v>98</v>
      </c>
      <c r="D5" s="79" t="s">
        <v>98</v>
      </c>
      <c r="E5" s="79" t="s">
        <v>98</v>
      </c>
      <c r="F5" s="79" t="s">
        <v>98</v>
      </c>
      <c r="G5" s="79" t="s">
        <v>98</v>
      </c>
      <c r="H5" s="79" t="s">
        <v>98</v>
      </c>
      <c r="I5" s="79" t="s">
        <v>98</v>
      </c>
      <c r="J5" s="79" t="s">
        <v>98</v>
      </c>
      <c r="K5" s="79" t="s">
        <v>98</v>
      </c>
      <c r="L5" s="79" t="s">
        <v>98</v>
      </c>
      <c r="M5" s="79" t="s">
        <v>98</v>
      </c>
      <c r="N5" s="100" t="s">
        <v>98</v>
      </c>
    </row>
    <row r="6" spans="1:14">
      <c r="A6" s="79" t="s">
        <v>17</v>
      </c>
      <c r="B6" s="79" t="s">
        <v>17</v>
      </c>
      <c r="C6" s="79" t="s">
        <v>17</v>
      </c>
      <c r="D6" s="79" t="s">
        <v>17</v>
      </c>
      <c r="E6" s="79" t="s">
        <v>17</v>
      </c>
      <c r="F6" s="79" t="s">
        <v>17</v>
      </c>
      <c r="G6" s="79" t="s">
        <v>17</v>
      </c>
      <c r="H6" s="79" t="s">
        <v>17</v>
      </c>
      <c r="I6" s="79" t="s">
        <v>17</v>
      </c>
      <c r="J6" s="79" t="s">
        <v>17</v>
      </c>
      <c r="K6" s="79" t="s">
        <v>17</v>
      </c>
      <c r="L6" s="79" t="s">
        <v>17</v>
      </c>
      <c r="M6" s="79" t="s">
        <v>17</v>
      </c>
      <c r="N6" s="100" t="s">
        <v>17</v>
      </c>
    </row>
    <row r="7" spans="1:14">
      <c r="A7" s="1" t="s">
        <v>99</v>
      </c>
      <c r="B7" s="1" t="s">
        <v>99</v>
      </c>
      <c r="C7" s="1" t="s">
        <v>99</v>
      </c>
      <c r="D7" s="78" t="s">
        <v>99</v>
      </c>
      <c r="E7" s="1" t="s">
        <v>99</v>
      </c>
      <c r="F7" s="1" t="s">
        <v>99</v>
      </c>
      <c r="G7" s="1" t="s">
        <v>99</v>
      </c>
      <c r="H7" s="1" t="s">
        <v>99</v>
      </c>
      <c r="I7" s="1" t="s">
        <v>99</v>
      </c>
      <c r="J7" s="1" t="s">
        <v>99</v>
      </c>
      <c r="K7" s="1" t="s">
        <v>99</v>
      </c>
      <c r="L7" s="1" t="s">
        <v>99</v>
      </c>
      <c r="M7" s="1" t="s">
        <v>99</v>
      </c>
      <c r="N7" s="99" t="s">
        <v>99</v>
      </c>
    </row>
    <row r="8" spans="1:14">
      <c r="A8" s="1" t="s">
        <v>100</v>
      </c>
      <c r="B8" s="1" t="s">
        <v>100</v>
      </c>
      <c r="C8" s="1" t="s">
        <v>100</v>
      </c>
      <c r="D8" s="79" t="s">
        <v>100</v>
      </c>
      <c r="E8" s="1" t="s">
        <v>100</v>
      </c>
      <c r="F8" s="1" t="s">
        <v>100</v>
      </c>
      <c r="G8" s="1" t="s">
        <v>100</v>
      </c>
      <c r="H8" s="1" t="s">
        <v>100</v>
      </c>
      <c r="I8" s="1" t="s">
        <v>100</v>
      </c>
      <c r="J8" s="1" t="s">
        <v>100</v>
      </c>
      <c r="K8" s="1" t="s">
        <v>100</v>
      </c>
      <c r="L8" s="1" t="s">
        <v>100</v>
      </c>
      <c r="M8" s="1" t="s">
        <v>100</v>
      </c>
      <c r="N8" s="100" t="s">
        <v>100</v>
      </c>
    </row>
    <row r="9" spans="1:14">
      <c r="A9" s="1" t="s">
        <v>101</v>
      </c>
      <c r="B9" s="1" t="s">
        <v>101</v>
      </c>
      <c r="C9" s="1" t="s">
        <v>101</v>
      </c>
      <c r="D9" s="78" t="s">
        <v>101</v>
      </c>
      <c r="E9" s="1" t="s">
        <v>101</v>
      </c>
      <c r="F9" s="1" t="s">
        <v>101</v>
      </c>
      <c r="G9" s="1" t="s">
        <v>101</v>
      </c>
      <c r="H9" s="1" t="s">
        <v>101</v>
      </c>
      <c r="I9" s="1" t="s">
        <v>101</v>
      </c>
      <c r="J9" s="1" t="s">
        <v>101</v>
      </c>
      <c r="K9" s="1" t="s">
        <v>101</v>
      </c>
      <c r="L9" s="1" t="s">
        <v>101</v>
      </c>
      <c r="M9" s="1" t="s">
        <v>101</v>
      </c>
      <c r="N9" s="99" t="s">
        <v>101</v>
      </c>
    </row>
    <row r="10" spans="1:14">
      <c r="A10" s="1" t="s">
        <v>102</v>
      </c>
      <c r="B10" s="1" t="s">
        <v>102</v>
      </c>
      <c r="C10" s="1" t="s">
        <v>102</v>
      </c>
      <c r="D10" s="79" t="s">
        <v>102</v>
      </c>
      <c r="E10" s="1" t="s">
        <v>102</v>
      </c>
      <c r="F10" s="1" t="s">
        <v>102</v>
      </c>
      <c r="G10" s="1" t="s">
        <v>102</v>
      </c>
      <c r="H10" s="1" t="s">
        <v>102</v>
      </c>
      <c r="I10" s="1" t="s">
        <v>102</v>
      </c>
      <c r="J10" s="1" t="s">
        <v>102</v>
      </c>
      <c r="K10" s="1" t="s">
        <v>102</v>
      </c>
      <c r="L10" s="1" t="s">
        <v>102</v>
      </c>
      <c r="M10" s="1" t="s">
        <v>102</v>
      </c>
      <c r="N10" s="100" t="s">
        <v>102</v>
      </c>
    </row>
    <row r="11" spans="1:14">
      <c r="A11" s="1" t="s">
        <v>103</v>
      </c>
      <c r="B11" s="1" t="s">
        <v>103</v>
      </c>
      <c r="C11" s="1" t="s">
        <v>103</v>
      </c>
      <c r="D11" s="78" t="s">
        <v>103</v>
      </c>
      <c r="E11" s="1" t="s">
        <v>103</v>
      </c>
      <c r="F11" s="1" t="s">
        <v>103</v>
      </c>
      <c r="G11" s="1" t="s">
        <v>103</v>
      </c>
      <c r="H11" s="1" t="s">
        <v>103</v>
      </c>
      <c r="I11" s="1" t="s">
        <v>103</v>
      </c>
      <c r="J11" s="1" t="s">
        <v>103</v>
      </c>
      <c r="K11" s="1" t="s">
        <v>103</v>
      </c>
      <c r="L11" s="1" t="s">
        <v>103</v>
      </c>
      <c r="M11" s="1" t="s">
        <v>103</v>
      </c>
      <c r="N11" s="99" t="s">
        <v>103</v>
      </c>
    </row>
    <row r="12" spans="1:14">
      <c r="A12" s="1" t="s">
        <v>104</v>
      </c>
      <c r="B12" s="1" t="s">
        <v>104</v>
      </c>
      <c r="C12" s="1" t="s">
        <v>104</v>
      </c>
      <c r="D12" s="79" t="s">
        <v>104</v>
      </c>
      <c r="E12" s="1" t="s">
        <v>104</v>
      </c>
      <c r="F12" s="1" t="s">
        <v>104</v>
      </c>
      <c r="G12" s="1" t="s">
        <v>104</v>
      </c>
      <c r="H12" s="1" t="s">
        <v>104</v>
      </c>
      <c r="I12" s="1" t="s">
        <v>104</v>
      </c>
      <c r="J12" s="1" t="s">
        <v>104</v>
      </c>
      <c r="K12" s="1" t="s">
        <v>104</v>
      </c>
      <c r="L12" s="1" t="s">
        <v>104</v>
      </c>
      <c r="M12" s="1" t="s">
        <v>104</v>
      </c>
      <c r="N12" s="100" t="s">
        <v>104</v>
      </c>
    </row>
    <row r="13" spans="1:14">
      <c r="A13" s="1" t="s">
        <v>105</v>
      </c>
      <c r="B13" s="1" t="s">
        <v>105</v>
      </c>
      <c r="C13" s="1" t="s">
        <v>105</v>
      </c>
      <c r="D13" s="78" t="s">
        <v>105</v>
      </c>
      <c r="E13" s="1" t="s">
        <v>105</v>
      </c>
      <c r="F13" s="1" t="s">
        <v>105</v>
      </c>
      <c r="G13" s="1" t="s">
        <v>105</v>
      </c>
      <c r="H13" s="1" t="s">
        <v>105</v>
      </c>
      <c r="I13" s="1" t="s">
        <v>105</v>
      </c>
      <c r="J13" s="1" t="s">
        <v>105</v>
      </c>
      <c r="K13" s="1" t="s">
        <v>105</v>
      </c>
      <c r="L13" s="1" t="s">
        <v>105</v>
      </c>
      <c r="M13" s="1" t="s">
        <v>105</v>
      </c>
      <c r="N13" s="99" t="s">
        <v>105</v>
      </c>
    </row>
    <row r="14" spans="1:14">
      <c r="A14" s="1" t="s">
        <v>106</v>
      </c>
      <c r="B14" s="1" t="s">
        <v>106</v>
      </c>
      <c r="C14" s="1" t="s">
        <v>106</v>
      </c>
      <c r="D14" s="79" t="s">
        <v>106</v>
      </c>
      <c r="E14" s="1" t="s">
        <v>106</v>
      </c>
      <c r="F14" s="1" t="s">
        <v>106</v>
      </c>
      <c r="G14" s="1" t="s">
        <v>107</v>
      </c>
      <c r="H14" s="1" t="s">
        <v>106</v>
      </c>
      <c r="I14" s="1" t="s">
        <v>106</v>
      </c>
      <c r="J14" s="1" t="s">
        <v>106</v>
      </c>
      <c r="K14" s="1" t="s">
        <v>106</v>
      </c>
      <c r="L14" s="1" t="s">
        <v>106</v>
      </c>
      <c r="M14" s="1" t="s">
        <v>106</v>
      </c>
      <c r="N14" s="100" t="s">
        <v>106</v>
      </c>
    </row>
    <row r="15" spans="1:14">
      <c r="A15" s="1" t="s">
        <v>108</v>
      </c>
      <c r="B15" s="1" t="s">
        <v>108</v>
      </c>
      <c r="C15" s="1" t="s">
        <v>108</v>
      </c>
      <c r="D15" s="78" t="s">
        <v>108</v>
      </c>
      <c r="E15" s="1" t="s">
        <v>108</v>
      </c>
      <c r="F15" s="1" t="s">
        <v>108</v>
      </c>
      <c r="G15" s="1" t="s">
        <v>109</v>
      </c>
      <c r="H15" s="1" t="s">
        <v>108</v>
      </c>
      <c r="I15" s="1" t="s">
        <v>108</v>
      </c>
      <c r="J15" s="1" t="s">
        <v>108</v>
      </c>
      <c r="K15" s="1" t="s">
        <v>108</v>
      </c>
      <c r="L15" s="1" t="s">
        <v>108</v>
      </c>
      <c r="M15" s="1" t="s">
        <v>108</v>
      </c>
      <c r="N15" s="99" t="s">
        <v>108</v>
      </c>
    </row>
    <row r="16" spans="1:14">
      <c r="A16" s="1" t="s">
        <v>110</v>
      </c>
      <c r="B16" s="1" t="s">
        <v>110</v>
      </c>
      <c r="C16" s="1" t="s">
        <v>110</v>
      </c>
      <c r="D16" s="79" t="s">
        <v>110</v>
      </c>
      <c r="E16" s="1" t="s">
        <v>110</v>
      </c>
      <c r="F16" s="1" t="s">
        <v>110</v>
      </c>
      <c r="G16" s="1" t="s">
        <v>111</v>
      </c>
      <c r="H16" s="1" t="s">
        <v>110</v>
      </c>
      <c r="I16" s="1" t="s">
        <v>110</v>
      </c>
      <c r="J16" s="1" t="s">
        <v>110</v>
      </c>
      <c r="K16" s="1" t="s">
        <v>110</v>
      </c>
      <c r="L16" s="1" t="s">
        <v>110</v>
      </c>
      <c r="M16" s="1" t="s">
        <v>110</v>
      </c>
      <c r="N16" s="100" t="s">
        <v>110</v>
      </c>
    </row>
    <row r="17" spans="1:14">
      <c r="A17" s="1" t="s">
        <v>107</v>
      </c>
      <c r="B17" s="1" t="s">
        <v>107</v>
      </c>
      <c r="C17" s="1" t="s">
        <v>107</v>
      </c>
      <c r="D17" s="78" t="s">
        <v>112</v>
      </c>
      <c r="E17" s="1" t="s">
        <v>107</v>
      </c>
      <c r="F17" s="1" t="s">
        <v>107</v>
      </c>
      <c r="G17" s="1" t="s">
        <v>113</v>
      </c>
      <c r="H17" s="1" t="s">
        <v>107</v>
      </c>
      <c r="I17" s="1" t="s">
        <v>107</v>
      </c>
      <c r="J17" s="1" t="s">
        <v>107</v>
      </c>
      <c r="K17" s="1" t="s">
        <v>107</v>
      </c>
      <c r="L17" s="1" t="s">
        <v>107</v>
      </c>
      <c r="M17" s="1" t="s">
        <v>112</v>
      </c>
      <c r="N17" s="99" t="s">
        <v>112</v>
      </c>
    </row>
    <row r="18" spans="1:14">
      <c r="A18" s="1" t="s">
        <v>109</v>
      </c>
      <c r="B18" s="1" t="s">
        <v>109</v>
      </c>
      <c r="C18" s="1" t="s">
        <v>109</v>
      </c>
      <c r="D18" s="79" t="s">
        <v>114</v>
      </c>
      <c r="E18" s="1" t="s">
        <v>109</v>
      </c>
      <c r="F18" s="1" t="s">
        <v>109</v>
      </c>
      <c r="G18" s="1" t="s">
        <v>115</v>
      </c>
      <c r="H18" s="1" t="s">
        <v>109</v>
      </c>
      <c r="I18" s="1" t="s">
        <v>109</v>
      </c>
      <c r="J18" s="1" t="s">
        <v>109</v>
      </c>
      <c r="K18" s="1" t="s">
        <v>109</v>
      </c>
      <c r="L18" s="1" t="s">
        <v>109</v>
      </c>
      <c r="M18" s="1" t="s">
        <v>114</v>
      </c>
      <c r="N18" s="100" t="s">
        <v>114</v>
      </c>
    </row>
    <row r="19" spans="1:14">
      <c r="A19" s="1" t="s">
        <v>111</v>
      </c>
      <c r="B19" s="1" t="s">
        <v>111</v>
      </c>
      <c r="C19" s="1" t="s">
        <v>111</v>
      </c>
      <c r="D19" s="78" t="s">
        <v>116</v>
      </c>
      <c r="E19" s="1" t="s">
        <v>111</v>
      </c>
      <c r="F19" s="1" t="s">
        <v>111</v>
      </c>
      <c r="G19" s="1" t="s">
        <v>117</v>
      </c>
      <c r="H19" s="1" t="s">
        <v>111</v>
      </c>
      <c r="I19" s="1" t="s">
        <v>111</v>
      </c>
      <c r="J19" s="1" t="s">
        <v>111</v>
      </c>
      <c r="K19" s="1" t="s">
        <v>111</v>
      </c>
      <c r="L19" s="1" t="s">
        <v>111</v>
      </c>
      <c r="M19" s="1" t="s">
        <v>116</v>
      </c>
      <c r="N19" s="99" t="s">
        <v>116</v>
      </c>
    </row>
    <row r="20" spans="1:14">
      <c r="A20" s="1" t="s">
        <v>113</v>
      </c>
      <c r="B20" s="1" t="s">
        <v>113</v>
      </c>
      <c r="C20" s="1" t="s">
        <v>113</v>
      </c>
      <c r="D20" s="79" t="s">
        <v>118</v>
      </c>
      <c r="E20" s="1" t="s">
        <v>113</v>
      </c>
      <c r="F20" s="1" t="s">
        <v>113</v>
      </c>
      <c r="G20" s="1" t="s">
        <v>112</v>
      </c>
      <c r="H20" s="1" t="s">
        <v>113</v>
      </c>
      <c r="I20" s="1" t="s">
        <v>113</v>
      </c>
      <c r="J20" s="1" t="s">
        <v>113</v>
      </c>
      <c r="K20" s="1" t="s">
        <v>113</v>
      </c>
      <c r="L20" s="1" t="s">
        <v>113</v>
      </c>
      <c r="M20" s="1" t="s">
        <v>118</v>
      </c>
      <c r="N20" s="100" t="s">
        <v>118</v>
      </c>
    </row>
    <row r="21" spans="1:14">
      <c r="A21" s="1" t="s">
        <v>115</v>
      </c>
      <c r="B21" s="1" t="s">
        <v>115</v>
      </c>
      <c r="C21" s="1" t="s">
        <v>115</v>
      </c>
      <c r="D21" s="1" t="s">
        <v>124</v>
      </c>
      <c r="E21" s="1" t="s">
        <v>115</v>
      </c>
      <c r="F21" s="1" t="s">
        <v>115</v>
      </c>
      <c r="G21" s="1" t="s">
        <v>114</v>
      </c>
      <c r="H21" s="1" t="s">
        <v>115</v>
      </c>
      <c r="I21" s="1" t="s">
        <v>115</v>
      </c>
      <c r="J21" s="1" t="s">
        <v>115</v>
      </c>
      <c r="K21" s="1" t="s">
        <v>115</v>
      </c>
      <c r="L21" s="1" t="s">
        <v>115</v>
      </c>
      <c r="M21" s="1" t="s">
        <v>120</v>
      </c>
      <c r="N21" s="99" t="s">
        <v>120</v>
      </c>
    </row>
    <row r="22" spans="1:14">
      <c r="A22" s="1" t="s">
        <v>117</v>
      </c>
      <c r="B22" s="1" t="s">
        <v>117</v>
      </c>
      <c r="C22" s="1" t="s">
        <v>117</v>
      </c>
      <c r="D22" s="1" t="s">
        <v>125</v>
      </c>
      <c r="E22" s="1" t="s">
        <v>117</v>
      </c>
      <c r="F22" s="1" t="s">
        <v>117</v>
      </c>
      <c r="G22" s="1" t="s">
        <v>116</v>
      </c>
      <c r="H22" s="1" t="s">
        <v>117</v>
      </c>
      <c r="I22" s="1" t="s">
        <v>117</v>
      </c>
      <c r="J22" s="1" t="s">
        <v>117</v>
      </c>
      <c r="K22" s="1" t="s">
        <v>117</v>
      </c>
      <c r="L22" s="1" t="s">
        <v>117</v>
      </c>
      <c r="M22" s="1" t="s">
        <v>122</v>
      </c>
      <c r="N22" s="100" t="s">
        <v>122</v>
      </c>
    </row>
    <row r="23" spans="1:14">
      <c r="A23" s="1" t="s">
        <v>112</v>
      </c>
      <c r="B23" s="1" t="s">
        <v>112</v>
      </c>
      <c r="C23" s="1" t="s">
        <v>112</v>
      </c>
      <c r="D23" s="1" t="s">
        <v>126</v>
      </c>
      <c r="E23" s="1" t="s">
        <v>112</v>
      </c>
      <c r="F23" s="1" t="s">
        <v>112</v>
      </c>
      <c r="G23" s="1" t="s">
        <v>118</v>
      </c>
      <c r="H23" s="1" t="s">
        <v>112</v>
      </c>
      <c r="I23" s="1" t="s">
        <v>112</v>
      </c>
      <c r="J23" s="1" t="s">
        <v>112</v>
      </c>
      <c r="K23" s="1" t="s">
        <v>112</v>
      </c>
      <c r="L23" s="1" t="s">
        <v>112</v>
      </c>
      <c r="M23" s="1" t="s">
        <v>119</v>
      </c>
      <c r="N23" s="101"/>
    </row>
    <row r="24" spans="1:14">
      <c r="A24" s="1" t="s">
        <v>114</v>
      </c>
      <c r="B24" s="1" t="s">
        <v>114</v>
      </c>
      <c r="C24" s="1" t="s">
        <v>114</v>
      </c>
      <c r="D24" s="1" t="s">
        <v>127</v>
      </c>
      <c r="E24" s="1" t="s">
        <v>114</v>
      </c>
      <c r="F24" s="1" t="s">
        <v>114</v>
      </c>
      <c r="G24" s="1" t="s">
        <v>120</v>
      </c>
      <c r="H24" s="1" t="s">
        <v>114</v>
      </c>
      <c r="I24" s="1" t="s">
        <v>114</v>
      </c>
      <c r="J24" s="1" t="s">
        <v>114</v>
      </c>
      <c r="K24" s="1" t="s">
        <v>114</v>
      </c>
      <c r="L24" s="1" t="s">
        <v>114</v>
      </c>
      <c r="M24" s="1" t="s">
        <v>121</v>
      </c>
      <c r="N24" s="101"/>
    </row>
    <row r="25" spans="1:14">
      <c r="A25" s="1" t="s">
        <v>116</v>
      </c>
      <c r="B25" s="1" t="s">
        <v>116</v>
      </c>
      <c r="C25" s="1" t="s">
        <v>116</v>
      </c>
      <c r="D25" s="78" t="s">
        <v>119</v>
      </c>
      <c r="E25" s="1" t="s">
        <v>116</v>
      </c>
      <c r="F25" s="1" t="s">
        <v>116</v>
      </c>
      <c r="G25" s="1" t="s">
        <v>122</v>
      </c>
      <c r="H25" s="1" t="s">
        <v>116</v>
      </c>
      <c r="I25" s="1" t="s">
        <v>116</v>
      </c>
      <c r="J25" s="1" t="s">
        <v>116</v>
      </c>
      <c r="K25" s="1" t="s">
        <v>116</v>
      </c>
      <c r="L25" s="1" t="s">
        <v>116</v>
      </c>
      <c r="M25" s="1" t="s">
        <v>123</v>
      </c>
      <c r="N25" s="101"/>
    </row>
    <row r="26" spans="1:14">
      <c r="A26" s="1" t="s">
        <v>118</v>
      </c>
      <c r="B26" s="1" t="s">
        <v>118</v>
      </c>
      <c r="C26" s="1" t="s">
        <v>118</v>
      </c>
      <c r="D26" s="79" t="s">
        <v>121</v>
      </c>
      <c r="E26" s="1" t="s">
        <v>118</v>
      </c>
      <c r="F26" s="1" t="s">
        <v>118</v>
      </c>
      <c r="G26" s="1" t="s">
        <v>124</v>
      </c>
      <c r="H26" s="1" t="s">
        <v>118</v>
      </c>
      <c r="I26" s="1" t="s">
        <v>118</v>
      </c>
      <c r="J26" s="1" t="s">
        <v>118</v>
      </c>
      <c r="K26" s="1" t="s">
        <v>118</v>
      </c>
      <c r="L26" s="1" t="s">
        <v>118</v>
      </c>
      <c r="N26" s="101"/>
    </row>
    <row r="27" spans="1:14">
      <c r="A27" s="1" t="s">
        <v>120</v>
      </c>
      <c r="B27" s="1" t="s">
        <v>120</v>
      </c>
      <c r="C27" s="1" t="s">
        <v>120</v>
      </c>
      <c r="D27" s="78" t="s">
        <v>123</v>
      </c>
      <c r="E27" s="1" t="s">
        <v>120</v>
      </c>
      <c r="F27" s="1" t="s">
        <v>120</v>
      </c>
      <c r="G27" s="1" t="s">
        <v>125</v>
      </c>
      <c r="H27" s="1" t="s">
        <v>120</v>
      </c>
      <c r="I27" s="1" t="s">
        <v>120</v>
      </c>
      <c r="J27" s="1" t="s">
        <v>120</v>
      </c>
      <c r="K27" s="1" t="s">
        <v>120</v>
      </c>
      <c r="L27" s="1" t="s">
        <v>120</v>
      </c>
      <c r="N27" s="101"/>
    </row>
    <row r="28" spans="1:14">
      <c r="A28" s="1" t="s">
        <v>122</v>
      </c>
      <c r="B28" s="1" t="s">
        <v>122</v>
      </c>
      <c r="C28" s="1" t="s">
        <v>122</v>
      </c>
      <c r="D28" s="1"/>
      <c r="E28" s="1" t="s">
        <v>122</v>
      </c>
      <c r="F28" s="1" t="s">
        <v>122</v>
      </c>
      <c r="G28" s="1" t="s">
        <v>126</v>
      </c>
      <c r="H28" s="1" t="s">
        <v>122</v>
      </c>
      <c r="I28" s="1" t="s">
        <v>122</v>
      </c>
      <c r="J28" s="1" t="s">
        <v>122</v>
      </c>
      <c r="K28" s="1" t="s">
        <v>122</v>
      </c>
      <c r="L28" s="1" t="s">
        <v>122</v>
      </c>
      <c r="N28" s="101"/>
    </row>
    <row r="29" spans="1:14">
      <c r="A29" s="1" t="s">
        <v>124</v>
      </c>
      <c r="B29" s="1" t="s">
        <v>124</v>
      </c>
      <c r="C29" s="1" t="s">
        <v>124</v>
      </c>
      <c r="D29" s="1"/>
      <c r="E29" s="1" t="s">
        <v>124</v>
      </c>
      <c r="F29" s="1" t="s">
        <v>124</v>
      </c>
      <c r="G29" s="1" t="s">
        <v>127</v>
      </c>
      <c r="H29" s="1" t="s">
        <v>124</v>
      </c>
      <c r="I29" s="1"/>
      <c r="J29" s="1" t="s">
        <v>124</v>
      </c>
      <c r="K29" s="1" t="s">
        <v>124</v>
      </c>
      <c r="N29" s="101"/>
    </row>
    <row r="30" spans="1:14">
      <c r="A30" s="1" t="s">
        <v>125</v>
      </c>
      <c r="B30" s="1" t="s">
        <v>125</v>
      </c>
      <c r="C30" s="1" t="s">
        <v>125</v>
      </c>
      <c r="D30" s="1"/>
      <c r="E30" s="1" t="s">
        <v>125</v>
      </c>
      <c r="F30" s="1" t="s">
        <v>125</v>
      </c>
      <c r="G30" s="1" t="s">
        <v>119</v>
      </c>
      <c r="H30" s="1" t="s">
        <v>125</v>
      </c>
      <c r="I30" s="1"/>
      <c r="J30" s="1" t="s">
        <v>125</v>
      </c>
      <c r="K30" s="1" t="s">
        <v>125</v>
      </c>
      <c r="N30" s="101"/>
    </row>
    <row r="31" spans="1:14">
      <c r="A31" s="1" t="s">
        <v>126</v>
      </c>
      <c r="B31" s="1" t="s">
        <v>126</v>
      </c>
      <c r="C31" s="1" t="s">
        <v>126</v>
      </c>
      <c r="D31" s="1"/>
      <c r="E31" s="1" t="s">
        <v>126</v>
      </c>
      <c r="F31" s="1" t="s">
        <v>126</v>
      </c>
      <c r="G31" s="1" t="s">
        <v>121</v>
      </c>
      <c r="H31" s="1" t="s">
        <v>126</v>
      </c>
      <c r="I31" s="1"/>
      <c r="J31" s="1" t="s">
        <v>126</v>
      </c>
      <c r="K31" s="1" t="s">
        <v>126</v>
      </c>
      <c r="N31" s="101"/>
    </row>
    <row r="32" spans="1:14">
      <c r="A32" s="1" t="s">
        <v>127</v>
      </c>
      <c r="B32" s="1" t="s">
        <v>127</v>
      </c>
      <c r="C32" s="1" t="s">
        <v>127</v>
      </c>
      <c r="D32" s="1"/>
      <c r="E32" s="1" t="s">
        <v>127</v>
      </c>
      <c r="F32" s="1" t="s">
        <v>127</v>
      </c>
      <c r="G32" s="1" t="s">
        <v>123</v>
      </c>
      <c r="H32" s="1" t="s">
        <v>127</v>
      </c>
      <c r="I32" s="1"/>
      <c r="J32" s="1" t="s">
        <v>127</v>
      </c>
      <c r="K32" s="1" t="s">
        <v>127</v>
      </c>
      <c r="N32" s="101"/>
    </row>
    <row r="33" spans="1:14">
      <c r="A33" s="1" t="s">
        <v>119</v>
      </c>
      <c r="B33" s="1" t="s">
        <v>119</v>
      </c>
      <c r="C33" s="1" t="s">
        <v>119</v>
      </c>
      <c r="D33" s="1"/>
      <c r="E33" s="1" t="s">
        <v>119</v>
      </c>
      <c r="F33" s="1" t="s">
        <v>119</v>
      </c>
      <c r="G33" s="1"/>
      <c r="H33" s="1" t="s">
        <v>119</v>
      </c>
      <c r="I33" s="1"/>
      <c r="J33" s="1" t="s">
        <v>119</v>
      </c>
      <c r="K33" s="1" t="s">
        <v>119</v>
      </c>
      <c r="N33" s="101"/>
    </row>
    <row r="34" spans="1:14">
      <c r="A34" s="1" t="s">
        <v>121</v>
      </c>
      <c r="B34" s="1" t="s">
        <v>121</v>
      </c>
      <c r="C34" s="1" t="s">
        <v>121</v>
      </c>
      <c r="D34" s="1"/>
      <c r="E34" s="1" t="s">
        <v>121</v>
      </c>
      <c r="F34" s="1" t="s">
        <v>121</v>
      </c>
      <c r="G34" s="1"/>
      <c r="H34" s="1" t="s">
        <v>121</v>
      </c>
      <c r="I34" s="1"/>
      <c r="J34" s="1" t="s">
        <v>121</v>
      </c>
      <c r="K34" s="1" t="s">
        <v>121</v>
      </c>
      <c r="N34" s="101"/>
    </row>
    <row r="35" spans="1:14">
      <c r="A35" s="1" t="s">
        <v>123</v>
      </c>
      <c r="B35" s="1" t="s">
        <v>123</v>
      </c>
      <c r="C35" s="1" t="s">
        <v>123</v>
      </c>
      <c r="D35" s="1"/>
      <c r="E35" s="1" t="s">
        <v>123</v>
      </c>
      <c r="F35" s="1" t="s">
        <v>123</v>
      </c>
      <c r="G35" s="1"/>
      <c r="H35" s="1" t="s">
        <v>123</v>
      </c>
      <c r="I35" s="1"/>
      <c r="J35" s="1" t="s">
        <v>123</v>
      </c>
      <c r="K35" s="1" t="s">
        <v>123</v>
      </c>
      <c r="N35" s="101"/>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02595-1054-1342-8280-A994D8370B53}">
  <dimension ref="A1:O33"/>
  <sheetViews>
    <sheetView topLeftCell="H15" workbookViewId="0">
      <selection activeCell="O1" sqref="O1:O33"/>
    </sheetView>
  </sheetViews>
  <sheetFormatPr defaultColWidth="10.58203125" defaultRowHeight="15.5"/>
  <cols>
    <col min="1" max="1" width="25" bestFit="1" customWidth="1"/>
    <col min="2" max="2" width="18.08203125" bestFit="1" customWidth="1"/>
    <col min="3" max="3" width="16.33203125" bestFit="1" customWidth="1"/>
    <col min="4" max="5" width="16.33203125" customWidth="1"/>
    <col min="6" max="6" width="13" bestFit="1" customWidth="1"/>
    <col min="7" max="7" width="11" bestFit="1" customWidth="1"/>
    <col min="8" max="8" width="11.08203125" bestFit="1" customWidth="1"/>
    <col min="9" max="9" width="17.5" bestFit="1" customWidth="1"/>
    <col min="10" max="10" width="19.33203125" bestFit="1" customWidth="1"/>
    <col min="11" max="11" width="20.58203125" bestFit="1" customWidth="1"/>
    <col min="12" max="12" width="18.5" bestFit="1" customWidth="1"/>
    <col min="13" max="13" width="17" bestFit="1" customWidth="1"/>
    <col min="14" max="15" width="23" bestFit="1" customWidth="1"/>
  </cols>
  <sheetData>
    <row r="1" spans="1:15">
      <c r="B1" s="31" t="s">
        <v>82</v>
      </c>
      <c r="C1" s="31" t="s">
        <v>83</v>
      </c>
      <c r="D1" s="31" t="s">
        <v>84</v>
      </c>
      <c r="E1" s="31" t="s">
        <v>85</v>
      </c>
      <c r="F1" s="74" t="s">
        <v>86</v>
      </c>
      <c r="G1" s="74" t="s">
        <v>87</v>
      </c>
      <c r="H1" s="74" t="s">
        <v>88</v>
      </c>
      <c r="I1" s="74" t="s">
        <v>89</v>
      </c>
      <c r="J1" s="74" t="s">
        <v>90</v>
      </c>
      <c r="K1" s="74" t="s">
        <v>15</v>
      </c>
      <c r="L1" s="74" t="s">
        <v>91</v>
      </c>
      <c r="M1" s="74" t="s">
        <v>92</v>
      </c>
      <c r="N1" s="74" t="s">
        <v>93</v>
      </c>
      <c r="O1" s="74" t="s">
        <v>94</v>
      </c>
    </row>
    <row r="2" spans="1:15">
      <c r="A2" s="73" t="s">
        <v>95</v>
      </c>
      <c r="B2" s="88">
        <v>5.9359999999999996E-2</v>
      </c>
      <c r="C2" s="88">
        <v>5.9359999999999996E-2</v>
      </c>
      <c r="D2" s="88">
        <v>5.9359999999999996E-2</v>
      </c>
      <c r="E2" s="88">
        <v>7.0000000000000007E-2</v>
      </c>
      <c r="F2" s="88">
        <v>7.4359999999999996E-2</v>
      </c>
      <c r="G2" s="88">
        <v>6.7360000000000003E-2</v>
      </c>
      <c r="H2" s="88">
        <v>7.2255068364558944E-2</v>
      </c>
      <c r="I2" s="88">
        <v>7.4359999999999996E-2</v>
      </c>
      <c r="J2" s="88">
        <v>7.4359999999999996E-2</v>
      </c>
      <c r="K2" s="88">
        <v>7.4359999999999996E-2</v>
      </c>
      <c r="L2" s="88">
        <v>8.6359999999999992E-2</v>
      </c>
      <c r="M2" s="88">
        <v>7.4359999999999996E-2</v>
      </c>
      <c r="N2" s="88">
        <v>7.4359999999999996E-2</v>
      </c>
      <c r="O2" s="7">
        <v>8.1860000000000002E-2</v>
      </c>
    </row>
    <row r="3" spans="1:15">
      <c r="A3" s="73" t="s">
        <v>96</v>
      </c>
      <c r="B3" s="88">
        <v>8.4360000000000004E-2</v>
      </c>
      <c r="C3" s="88">
        <v>8.4360000000000004E-2</v>
      </c>
      <c r="D3" s="88">
        <v>8.4360000000000004E-2</v>
      </c>
      <c r="E3" s="88">
        <v>0.104</v>
      </c>
      <c r="F3" s="88">
        <v>0.10435999999999999</v>
      </c>
      <c r="G3" s="88">
        <v>9.4359999999999999E-2</v>
      </c>
      <c r="H3" s="88">
        <v>0.10372131824312135</v>
      </c>
      <c r="I3" s="88">
        <v>0.10435999999999999</v>
      </c>
      <c r="J3" s="88">
        <v>0.10435999999999999</v>
      </c>
      <c r="K3" s="88">
        <v>0.10435999999999999</v>
      </c>
      <c r="L3" s="88">
        <v>0.12036000000000001</v>
      </c>
      <c r="M3" s="88">
        <v>0.10435999999999999</v>
      </c>
      <c r="N3" s="88">
        <v>0.10435999999999999</v>
      </c>
      <c r="O3" s="7">
        <v>0.11436</v>
      </c>
    </row>
    <row r="4" spans="1:15">
      <c r="A4" s="89" t="s">
        <v>97</v>
      </c>
      <c r="B4" s="88">
        <v>0.17654</v>
      </c>
      <c r="C4" s="88">
        <v>0.17654</v>
      </c>
      <c r="D4" s="88">
        <v>0.17654</v>
      </c>
      <c r="E4" s="88">
        <v>0.20699999999999999</v>
      </c>
      <c r="F4" s="88">
        <v>0.21653999999999998</v>
      </c>
      <c r="G4" s="88">
        <v>0.19653999999999999</v>
      </c>
      <c r="H4" s="88">
        <v>0.21441824804055756</v>
      </c>
      <c r="I4" s="88">
        <v>0.21653999999999998</v>
      </c>
      <c r="J4" s="88">
        <v>0.21653999999999998</v>
      </c>
      <c r="K4" s="88">
        <v>0.21653999999999998</v>
      </c>
      <c r="L4" s="88">
        <v>0.24854000000000001</v>
      </c>
      <c r="M4" s="88">
        <v>0.21653999999999998</v>
      </c>
      <c r="N4" s="88">
        <v>0.21653999999999998</v>
      </c>
      <c r="O4" s="7">
        <v>0.23654</v>
      </c>
    </row>
    <row r="5" spans="1:15">
      <c r="A5" s="89" t="s">
        <v>98</v>
      </c>
      <c r="B5" s="88">
        <v>0.33744000000000002</v>
      </c>
      <c r="C5" s="88">
        <v>0.33744000000000002</v>
      </c>
      <c r="D5" s="88">
        <v>0.33744000000000002</v>
      </c>
      <c r="E5" s="88">
        <v>0.39700000000000002</v>
      </c>
      <c r="F5" s="88">
        <v>0.41743999999999998</v>
      </c>
      <c r="G5" s="88">
        <v>0.37744</v>
      </c>
      <c r="H5" s="88">
        <v>0.41743999999999998</v>
      </c>
      <c r="I5" s="88">
        <v>0.41699999999999998</v>
      </c>
      <c r="J5" s="88">
        <v>0.41743999999999998</v>
      </c>
      <c r="K5" s="88">
        <v>0.41743999999999998</v>
      </c>
      <c r="L5" s="88">
        <v>0.48144000000000003</v>
      </c>
      <c r="M5" s="88">
        <v>0.41743999999999998</v>
      </c>
      <c r="N5" s="88">
        <v>0.41743999999999998</v>
      </c>
      <c r="O5" s="7">
        <v>0.45744000000000001</v>
      </c>
    </row>
    <row r="6" spans="1:15">
      <c r="A6" s="1" t="s">
        <v>17</v>
      </c>
      <c r="B6" s="88">
        <v>0.67488000000000004</v>
      </c>
      <c r="C6" s="88">
        <v>0.67488000000000004</v>
      </c>
      <c r="D6" s="88">
        <v>0.67488000000000004</v>
      </c>
      <c r="E6" s="88">
        <v>0.79500000000000004</v>
      </c>
      <c r="F6" s="88">
        <v>0.83487999999999996</v>
      </c>
      <c r="G6" s="88">
        <v>0.75488</v>
      </c>
      <c r="H6" s="88">
        <v>0.83487999999999996</v>
      </c>
      <c r="I6" s="88">
        <v>0.83499999999999996</v>
      </c>
      <c r="J6" s="88">
        <v>0.83487999999999996</v>
      </c>
      <c r="K6" s="88">
        <v>0.83487999999999996</v>
      </c>
      <c r="L6" s="88">
        <v>0.96288000000000007</v>
      </c>
      <c r="M6" s="88">
        <v>0.83487999999999996</v>
      </c>
      <c r="N6" s="88">
        <v>0.83487999999999996</v>
      </c>
      <c r="O6" s="7">
        <v>0.91488000000000003</v>
      </c>
    </row>
    <row r="7" spans="1:15">
      <c r="A7" s="89" t="s">
        <v>99</v>
      </c>
      <c r="B7" s="88">
        <v>0.17180000000000001</v>
      </c>
      <c r="C7" s="88">
        <v>0.17180000000000001</v>
      </c>
      <c r="D7" s="88">
        <v>0.17180000000000001</v>
      </c>
      <c r="E7" s="88">
        <v>0.21199999999999999</v>
      </c>
      <c r="F7" s="88">
        <v>0.2218</v>
      </c>
      <c r="G7" s="88">
        <v>0.20180000000000003</v>
      </c>
      <c r="H7" s="88">
        <v>0.22420540454958754</v>
      </c>
      <c r="I7" s="88">
        <v>0.2218</v>
      </c>
      <c r="J7" s="88">
        <v>0.25180000000000002</v>
      </c>
      <c r="K7" s="88">
        <v>0.25180000000000002</v>
      </c>
      <c r="L7" s="88">
        <v>0.27179999999999999</v>
      </c>
      <c r="M7" s="88">
        <v>0.2218</v>
      </c>
      <c r="N7" s="88">
        <v>0.2218</v>
      </c>
      <c r="O7" s="7">
        <v>0.25930000000000003</v>
      </c>
    </row>
    <row r="8" spans="1:15">
      <c r="A8" s="89" t="s">
        <v>100</v>
      </c>
      <c r="B8" s="88">
        <v>0.34360000000000002</v>
      </c>
      <c r="C8" s="88">
        <v>0.34360000000000002</v>
      </c>
      <c r="D8" s="88">
        <v>0.34360000000000002</v>
      </c>
      <c r="E8" s="88">
        <v>0.42399999999999999</v>
      </c>
      <c r="F8" s="88">
        <v>0.44359999999999999</v>
      </c>
      <c r="G8" s="88">
        <v>0.39360000000000006</v>
      </c>
      <c r="H8" s="88">
        <v>0.43735432261973584</v>
      </c>
      <c r="I8" s="88">
        <v>0.44359999999999999</v>
      </c>
      <c r="J8" s="88">
        <v>0.50360000000000005</v>
      </c>
      <c r="K8" s="88">
        <v>0.50360000000000005</v>
      </c>
      <c r="L8" s="88">
        <v>0.54359999999999997</v>
      </c>
      <c r="M8" s="88">
        <v>0.44359999999999999</v>
      </c>
      <c r="N8" s="88">
        <v>0.44359999999999999</v>
      </c>
      <c r="O8" s="7">
        <v>0.51860000000000006</v>
      </c>
    </row>
    <row r="9" spans="1:15">
      <c r="A9" s="89" t="s">
        <v>101</v>
      </c>
      <c r="B9" s="88">
        <v>0.68720000000000003</v>
      </c>
      <c r="C9" s="88">
        <v>0.68720000000000003</v>
      </c>
      <c r="D9" s="88">
        <v>0.68720000000000003</v>
      </c>
      <c r="E9" s="88">
        <v>0.84699999999999998</v>
      </c>
      <c r="F9" s="88">
        <v>0.88719999999999999</v>
      </c>
      <c r="G9" s="88">
        <v>0.78720000000000012</v>
      </c>
      <c r="H9" s="88">
        <v>0.87443800883722611</v>
      </c>
      <c r="I9" s="88">
        <v>0.88719999999999999</v>
      </c>
      <c r="J9" s="88">
        <v>1.0072000000000001</v>
      </c>
      <c r="K9" s="88">
        <v>1.0072000000000001</v>
      </c>
      <c r="L9" s="88">
        <v>1.0871999999999999</v>
      </c>
      <c r="M9" s="88">
        <v>0.88719999999999999</v>
      </c>
      <c r="N9" s="88">
        <v>0.88719999999999999</v>
      </c>
      <c r="O9" s="7">
        <v>1.0372000000000001</v>
      </c>
    </row>
    <row r="10" spans="1:15">
      <c r="A10" s="89" t="s">
        <v>102</v>
      </c>
      <c r="B10" s="88">
        <v>1.3744000000000001</v>
      </c>
      <c r="C10" s="88">
        <v>1.3744000000000001</v>
      </c>
      <c r="D10" s="88">
        <v>1.3744000000000001</v>
      </c>
      <c r="E10" s="88">
        <v>1.694</v>
      </c>
      <c r="F10" s="88">
        <v>1.7744</v>
      </c>
      <c r="G10" s="88">
        <v>1.5744000000000002</v>
      </c>
      <c r="H10" s="88">
        <v>1.7486624154619164</v>
      </c>
      <c r="I10" s="88">
        <v>1.7744</v>
      </c>
      <c r="J10" s="88">
        <v>2.0144000000000002</v>
      </c>
      <c r="K10" s="88">
        <v>2.0144000000000002</v>
      </c>
      <c r="L10" s="88">
        <v>2.1743999999999999</v>
      </c>
      <c r="M10" s="88">
        <v>1.7744</v>
      </c>
      <c r="N10" s="88">
        <v>1.7744</v>
      </c>
      <c r="O10" s="7">
        <v>2.0744000000000002</v>
      </c>
    </row>
    <row r="11" spans="1:15">
      <c r="A11" s="89" t="s">
        <v>103</v>
      </c>
      <c r="B11" s="88">
        <v>2.5924</v>
      </c>
      <c r="C11" s="88">
        <v>2.5924</v>
      </c>
      <c r="D11" s="88">
        <v>2.5924</v>
      </c>
      <c r="E11" s="88">
        <v>3.2320000000000002</v>
      </c>
      <c r="F11" s="88">
        <v>3.3923999999999999</v>
      </c>
      <c r="G11" s="88">
        <v>2.9924000000000004</v>
      </c>
      <c r="H11" s="88">
        <v>3.3093234191689649</v>
      </c>
      <c r="I11" s="88">
        <v>3.3923999999999999</v>
      </c>
      <c r="J11" s="88">
        <v>3.8724000000000003</v>
      </c>
      <c r="K11" s="88">
        <v>3.8724000000000003</v>
      </c>
      <c r="L11" s="88">
        <v>4.1923999999999992</v>
      </c>
      <c r="M11" s="88">
        <v>3.3923999999999999</v>
      </c>
      <c r="N11" s="88">
        <v>3.3923999999999999</v>
      </c>
      <c r="O11" s="7">
        <v>3.9924000000000004</v>
      </c>
    </row>
    <row r="12" spans="1:15">
      <c r="A12" s="89" t="s">
        <v>107</v>
      </c>
      <c r="B12" s="88">
        <v>0.37180000000000002</v>
      </c>
      <c r="C12" s="88">
        <v>0.37180000000000002</v>
      </c>
      <c r="D12" s="88">
        <v>0.37180000000000002</v>
      </c>
      <c r="E12" s="88">
        <v>0.442</v>
      </c>
      <c r="F12" s="88">
        <v>0.53380000000000005</v>
      </c>
      <c r="G12" s="88">
        <v>0.42580000000000012</v>
      </c>
      <c r="H12" s="88">
        <v>0.45800564080377476</v>
      </c>
      <c r="I12" s="88">
        <v>0.46180000000000004</v>
      </c>
      <c r="J12" s="88">
        <v>0.53380000000000005</v>
      </c>
      <c r="K12" s="88">
        <v>0.53380000000000005</v>
      </c>
      <c r="L12" s="88">
        <v>0.55179999999999996</v>
      </c>
      <c r="M12" s="88">
        <v>0.46180000000000004</v>
      </c>
      <c r="N12" s="88">
        <v>0.46180000000000004</v>
      </c>
      <c r="O12" s="7" t="s">
        <v>128</v>
      </c>
    </row>
    <row r="13" spans="1:15">
      <c r="A13" s="89" t="s">
        <v>109</v>
      </c>
      <c r="B13" s="88">
        <v>0.74360000000000004</v>
      </c>
      <c r="C13" s="88">
        <v>0.74360000000000004</v>
      </c>
      <c r="D13" s="88">
        <v>0.74360000000000004</v>
      </c>
      <c r="E13" s="88">
        <v>0.88400000000000001</v>
      </c>
      <c r="F13" s="88">
        <v>1.0676000000000001</v>
      </c>
      <c r="G13" s="88">
        <v>0.85160000000000025</v>
      </c>
      <c r="H13" s="88">
        <v>0.91529770846662839</v>
      </c>
      <c r="I13" s="88">
        <v>0.92360000000000009</v>
      </c>
      <c r="J13" s="88">
        <v>1.0676000000000001</v>
      </c>
      <c r="K13" s="88">
        <v>1.0676000000000001</v>
      </c>
      <c r="L13" s="88">
        <v>1.1035999999999999</v>
      </c>
      <c r="M13" s="88">
        <v>0.92360000000000009</v>
      </c>
      <c r="N13" s="88">
        <v>0.92360000000000009</v>
      </c>
      <c r="O13" s="7" t="s">
        <v>128</v>
      </c>
    </row>
    <row r="14" spans="1:15">
      <c r="A14" s="89" t="s">
        <v>111</v>
      </c>
      <c r="B14" s="88">
        <v>1.4872000000000001</v>
      </c>
      <c r="C14" s="88">
        <v>1.4872000000000001</v>
      </c>
      <c r="D14" s="88">
        <v>1.4872000000000001</v>
      </c>
      <c r="E14" s="88">
        <v>1.7669999999999999</v>
      </c>
      <c r="F14" s="88">
        <v>2.1352000000000002</v>
      </c>
      <c r="G14" s="88">
        <v>1.7032000000000005</v>
      </c>
      <c r="H14" s="88">
        <v>1.8297015272582102</v>
      </c>
      <c r="I14" s="88">
        <v>1.8472000000000002</v>
      </c>
      <c r="J14" s="88">
        <v>2.1352000000000002</v>
      </c>
      <c r="K14" s="88">
        <v>2.1352000000000002</v>
      </c>
      <c r="L14" s="88">
        <v>2.2071999999999998</v>
      </c>
      <c r="M14" s="88">
        <v>1.8472000000000002</v>
      </c>
      <c r="N14" s="88">
        <v>1.8472000000000002</v>
      </c>
      <c r="O14" s="7" t="s">
        <v>128</v>
      </c>
    </row>
    <row r="15" spans="1:15">
      <c r="A15" s="89" t="s">
        <v>113</v>
      </c>
      <c r="B15" s="88">
        <v>2.2308000000000003</v>
      </c>
      <c r="C15" s="88">
        <v>2.2308000000000003</v>
      </c>
      <c r="D15" s="88">
        <v>2.2308000000000003</v>
      </c>
      <c r="E15" s="88">
        <v>2.6509999999999998</v>
      </c>
      <c r="F15" s="88">
        <v>3.2028000000000008</v>
      </c>
      <c r="G15" s="88">
        <v>2.5548000000000011</v>
      </c>
      <c r="H15" s="88">
        <v>2.7440436875541558</v>
      </c>
      <c r="I15" s="88">
        <v>2.7708000000000004</v>
      </c>
      <c r="J15" s="88">
        <v>3.2028000000000008</v>
      </c>
      <c r="K15" s="88">
        <v>3.2028000000000008</v>
      </c>
      <c r="L15" s="88">
        <v>3.3108000000000004</v>
      </c>
      <c r="M15" s="88">
        <v>2.7708000000000004</v>
      </c>
      <c r="N15" s="88">
        <v>2.7708000000000004</v>
      </c>
      <c r="O15" s="7" t="s">
        <v>128</v>
      </c>
    </row>
    <row r="16" spans="1:15">
      <c r="A16" s="89" t="s">
        <v>115</v>
      </c>
      <c r="B16" s="88">
        <v>4.4616000000000007</v>
      </c>
      <c r="C16" s="88">
        <v>4.4616000000000007</v>
      </c>
      <c r="D16" s="88">
        <v>4.4616000000000007</v>
      </c>
      <c r="E16" s="88">
        <v>5.3019999999999996</v>
      </c>
      <c r="F16" s="88">
        <v>6.4056000000000015</v>
      </c>
      <c r="G16" s="88">
        <v>5.1096000000000021</v>
      </c>
      <c r="H16" s="88">
        <v>5.4872216517807395</v>
      </c>
      <c r="I16" s="88">
        <v>5.5416000000000007</v>
      </c>
      <c r="J16" s="88">
        <v>6.4056000000000015</v>
      </c>
      <c r="K16" s="88">
        <v>6.4056000000000015</v>
      </c>
      <c r="L16" s="88">
        <v>6.6216000000000008</v>
      </c>
      <c r="M16" s="88">
        <v>5.5416000000000007</v>
      </c>
      <c r="N16" s="88">
        <v>5.5416000000000007</v>
      </c>
      <c r="O16" s="7" t="s">
        <v>128</v>
      </c>
    </row>
    <row r="17" spans="1:15">
      <c r="A17" s="89" t="s">
        <v>117</v>
      </c>
      <c r="B17" s="88">
        <v>8.9232000000000014</v>
      </c>
      <c r="C17" s="88">
        <v>8.9232000000000014</v>
      </c>
      <c r="D17" s="88">
        <v>8.9232000000000014</v>
      </c>
      <c r="E17" s="88">
        <v>10.603</v>
      </c>
      <c r="F17" s="88">
        <v>12.811200000000003</v>
      </c>
      <c r="G17" s="88">
        <v>10.219200000000004</v>
      </c>
      <c r="H17" s="88">
        <v>10.973517769810741</v>
      </c>
      <c r="I17" s="88">
        <v>11.083200000000001</v>
      </c>
      <c r="J17" s="88">
        <v>12.811200000000003</v>
      </c>
      <c r="K17" s="88">
        <v>12.811200000000003</v>
      </c>
      <c r="L17" s="88">
        <v>13.243200000000002</v>
      </c>
      <c r="M17" s="88">
        <v>11.083200000000001</v>
      </c>
      <c r="N17" s="88">
        <v>11.083200000000001</v>
      </c>
      <c r="O17" s="7" t="s">
        <v>128</v>
      </c>
    </row>
    <row r="18" spans="1:15">
      <c r="A18" s="89" t="s">
        <v>104</v>
      </c>
      <c r="B18" s="88">
        <v>0.17180000000000001</v>
      </c>
      <c r="C18" s="88">
        <v>0.17180000000000001</v>
      </c>
      <c r="D18" s="88">
        <v>0.17180000000000001</v>
      </c>
      <c r="E18" s="88">
        <v>0.21199999999999999</v>
      </c>
      <c r="F18" s="88">
        <v>0.26180000000000003</v>
      </c>
      <c r="G18" s="88">
        <v>0.20180000000000003</v>
      </c>
      <c r="H18" s="88">
        <v>0.2211698496426639</v>
      </c>
      <c r="I18" s="88">
        <v>0.2218</v>
      </c>
      <c r="J18" s="88">
        <v>0.26180000000000003</v>
      </c>
      <c r="K18" s="88">
        <v>0.26180000000000003</v>
      </c>
      <c r="L18" s="88">
        <v>0.27179999999999999</v>
      </c>
      <c r="M18" s="88">
        <v>0.2218</v>
      </c>
      <c r="N18" s="88">
        <v>0.2218</v>
      </c>
      <c r="O18" s="7">
        <v>0.25930000000000003</v>
      </c>
    </row>
    <row r="19" spans="1:15">
      <c r="A19" s="89" t="s">
        <v>105</v>
      </c>
      <c r="B19" s="88">
        <v>0.34360000000000002</v>
      </c>
      <c r="C19" s="88">
        <v>0.34360000000000002</v>
      </c>
      <c r="D19" s="88">
        <v>0.34360000000000002</v>
      </c>
      <c r="E19" s="88">
        <v>0.42399999999999999</v>
      </c>
      <c r="F19" s="88">
        <v>0.52360000000000007</v>
      </c>
      <c r="G19" s="88">
        <v>0.39360000000000006</v>
      </c>
      <c r="H19" s="88">
        <v>0.431173293531525</v>
      </c>
      <c r="I19" s="88">
        <v>0.44359999999999999</v>
      </c>
      <c r="J19" s="88">
        <v>0.52360000000000007</v>
      </c>
      <c r="K19" s="88">
        <v>0.52360000000000007</v>
      </c>
      <c r="L19" s="88">
        <v>0.54359999999999997</v>
      </c>
      <c r="M19" s="88">
        <v>0.44359999999999999</v>
      </c>
      <c r="N19" s="88">
        <v>0.44359999999999999</v>
      </c>
      <c r="O19" s="7">
        <v>0.51860000000000006</v>
      </c>
    </row>
    <row r="20" spans="1:15">
      <c r="A20" s="89" t="s">
        <v>106</v>
      </c>
      <c r="B20" s="88">
        <v>0.68720000000000003</v>
      </c>
      <c r="C20" s="88">
        <v>0.68720000000000003</v>
      </c>
      <c r="D20" s="88">
        <v>0.68720000000000003</v>
      </c>
      <c r="E20" s="88">
        <v>0.84699999999999998</v>
      </c>
      <c r="F20" s="88">
        <v>1.0472000000000001</v>
      </c>
      <c r="G20" s="88">
        <v>0.78720000000000012</v>
      </c>
      <c r="H20" s="88">
        <v>0.86194093782904235</v>
      </c>
      <c r="I20" s="88">
        <v>0.88719999999999999</v>
      </c>
      <c r="J20" s="88">
        <v>1.0472000000000001</v>
      </c>
      <c r="K20" s="88">
        <v>1.0472000000000001</v>
      </c>
      <c r="L20" s="88">
        <v>1.0871999999999999</v>
      </c>
      <c r="M20" s="88">
        <v>0.88719999999999999</v>
      </c>
      <c r="N20" s="88">
        <v>0.88719999999999999</v>
      </c>
      <c r="O20" s="7">
        <v>1.0372000000000001</v>
      </c>
    </row>
    <row r="21" spans="1:15">
      <c r="A21" s="89" t="s">
        <v>108</v>
      </c>
      <c r="B21" s="88">
        <v>1.3744000000000001</v>
      </c>
      <c r="C21" s="88">
        <v>1.3744000000000001</v>
      </c>
      <c r="D21" s="88">
        <v>1.3744000000000001</v>
      </c>
      <c r="E21" s="88">
        <v>1.694</v>
      </c>
      <c r="F21" s="88">
        <v>2.0944000000000003</v>
      </c>
      <c r="G21" s="88">
        <v>1.5744000000000002</v>
      </c>
      <c r="H21" s="88">
        <v>1.7234929709791711</v>
      </c>
      <c r="I21" s="88">
        <v>1.7744</v>
      </c>
      <c r="J21" s="88">
        <v>2.0944000000000003</v>
      </c>
      <c r="K21" s="88">
        <v>2.0944000000000003</v>
      </c>
      <c r="L21" s="88">
        <v>2.1743999999999999</v>
      </c>
      <c r="M21" s="88">
        <v>1.7744</v>
      </c>
      <c r="N21" s="88">
        <v>1.7744</v>
      </c>
      <c r="O21" s="7">
        <v>2.0744000000000002</v>
      </c>
    </row>
    <row r="22" spans="1:15">
      <c r="A22" s="89" t="s">
        <v>110</v>
      </c>
      <c r="B22" s="88">
        <v>2.7488000000000001</v>
      </c>
      <c r="C22" s="88">
        <v>2.7488000000000001</v>
      </c>
      <c r="D22" s="88">
        <v>2.7488000000000001</v>
      </c>
      <c r="E22" s="88">
        <v>3.3889999999999998</v>
      </c>
      <c r="F22" s="88">
        <v>4.1888000000000005</v>
      </c>
      <c r="G22" s="88">
        <v>3.1488000000000005</v>
      </c>
      <c r="H22" s="88">
        <v>3.4465074899750014</v>
      </c>
      <c r="I22" s="88">
        <v>3.5488</v>
      </c>
      <c r="J22" s="88">
        <v>4.1888000000000005</v>
      </c>
      <c r="K22" s="88">
        <v>4.1888000000000005</v>
      </c>
      <c r="L22" s="88">
        <v>4.3487999999999998</v>
      </c>
      <c r="M22" s="88">
        <v>3.5488</v>
      </c>
      <c r="N22" s="88">
        <v>3.5488</v>
      </c>
      <c r="O22" s="7">
        <v>4.1488000000000005</v>
      </c>
    </row>
    <row r="23" spans="1:15">
      <c r="A23" s="89" t="s">
        <v>119</v>
      </c>
      <c r="B23" s="88">
        <v>1.4243999999999999</v>
      </c>
      <c r="C23" s="88">
        <v>1.4243999999999999</v>
      </c>
      <c r="D23" s="88">
        <v>1.4243999999999999</v>
      </c>
      <c r="E23" s="88">
        <v>1.734</v>
      </c>
      <c r="F23" s="88">
        <v>2.0744000000000002</v>
      </c>
      <c r="G23" s="88">
        <v>1.6343999999999999</v>
      </c>
      <c r="H23" s="88">
        <v>1.7773295016898962</v>
      </c>
      <c r="I23" s="88">
        <v>1.8344</v>
      </c>
      <c r="J23" s="88">
        <v>2.4443999999999999</v>
      </c>
      <c r="K23" s="88">
        <v>2.4443999999999999</v>
      </c>
      <c r="L23" s="88">
        <v>2.4144000000000001</v>
      </c>
      <c r="M23" s="88">
        <v>1.8344</v>
      </c>
      <c r="N23" s="88">
        <v>1.8343999999999996</v>
      </c>
      <c r="O23" s="7" t="s">
        <v>128</v>
      </c>
    </row>
    <row r="24" spans="1:15">
      <c r="A24" s="89" t="s">
        <v>121</v>
      </c>
      <c r="B24" s="88">
        <v>2.8487999999999998</v>
      </c>
      <c r="C24" s="88">
        <v>2.8487999999999998</v>
      </c>
      <c r="D24" s="88">
        <v>2.8487999999999998</v>
      </c>
      <c r="E24" s="88">
        <v>3.4689999999999999</v>
      </c>
      <c r="F24" s="88">
        <v>4.1488000000000005</v>
      </c>
      <c r="G24" s="88">
        <v>3.2687999999999997</v>
      </c>
      <c r="H24" s="88">
        <v>3.556716526965169</v>
      </c>
      <c r="I24" s="88">
        <v>3.6688000000000001</v>
      </c>
      <c r="J24" s="88">
        <v>4.8887999999999998</v>
      </c>
      <c r="K24" s="88">
        <v>4.8887999999999998</v>
      </c>
      <c r="L24" s="88">
        <v>4.8288000000000002</v>
      </c>
      <c r="M24" s="88">
        <v>3.6688000000000001</v>
      </c>
      <c r="N24" s="88">
        <v>3.6687999999999992</v>
      </c>
      <c r="O24" s="7" t="s">
        <v>128</v>
      </c>
    </row>
    <row r="25" spans="1:15">
      <c r="A25" s="89" t="s">
        <v>123</v>
      </c>
      <c r="B25" s="88">
        <v>5.6975999999999996</v>
      </c>
      <c r="C25" s="88">
        <v>5.6975999999999996</v>
      </c>
      <c r="D25" s="88">
        <v>5.6975999999999996</v>
      </c>
      <c r="E25" s="88">
        <v>6.9180000000000001</v>
      </c>
      <c r="F25" s="88">
        <v>8.297600000000001</v>
      </c>
      <c r="G25" s="88">
        <v>6.5375999999999994</v>
      </c>
      <c r="H25" s="88">
        <v>7.1154907690669411</v>
      </c>
      <c r="I25" s="88">
        <v>7.3376000000000001</v>
      </c>
      <c r="J25" s="88">
        <v>9.7775999999999996</v>
      </c>
      <c r="K25" s="88">
        <v>9.7775999999999996</v>
      </c>
      <c r="L25" s="88">
        <v>9.6576000000000004</v>
      </c>
      <c r="M25" s="88">
        <v>7.3376000000000001</v>
      </c>
      <c r="N25" s="88">
        <v>7.3375999999999983</v>
      </c>
      <c r="O25" s="7" t="s">
        <v>128</v>
      </c>
    </row>
    <row r="26" spans="1:15">
      <c r="A26" s="89" t="s">
        <v>112</v>
      </c>
      <c r="B26" s="88">
        <v>0.84360000000000002</v>
      </c>
      <c r="C26" s="88">
        <v>0.84360000000000002</v>
      </c>
      <c r="D26" s="88">
        <v>0.84360000000000002</v>
      </c>
      <c r="E26" s="88">
        <v>0.99399999999999999</v>
      </c>
      <c r="F26" s="88">
        <v>1.0335999999999999</v>
      </c>
      <c r="G26" s="88">
        <v>0.9336000000000001</v>
      </c>
      <c r="H26" s="88">
        <v>1.0751670595760343</v>
      </c>
      <c r="I26" s="88">
        <v>1.1035999999999999</v>
      </c>
      <c r="J26" s="88">
        <v>1.1435999999999999</v>
      </c>
      <c r="K26" s="88">
        <v>1.1435999999999999</v>
      </c>
      <c r="L26" s="88">
        <v>1.0635999999999999</v>
      </c>
      <c r="M26" s="88">
        <v>1.0135999999999998</v>
      </c>
      <c r="N26" s="88">
        <v>1.0365577464788731</v>
      </c>
      <c r="O26" s="7">
        <v>1.2035999999999998</v>
      </c>
    </row>
    <row r="27" spans="1:15">
      <c r="A27" s="89" t="s">
        <v>114</v>
      </c>
      <c r="B27" s="88">
        <v>1.2646647887323945</v>
      </c>
      <c r="C27" s="88">
        <v>1.2646647887323945</v>
      </c>
      <c r="D27" s="88">
        <v>1.2646647887323945</v>
      </c>
      <c r="E27" s="88">
        <v>1.4970000000000001</v>
      </c>
      <c r="F27" s="88">
        <v>1.5572000000000001</v>
      </c>
      <c r="G27" s="88">
        <v>1.3972</v>
      </c>
      <c r="H27" s="88">
        <v>1.5692865836086454</v>
      </c>
      <c r="I27" s="88">
        <v>1.6772</v>
      </c>
      <c r="J27" s="88">
        <v>1.7272000000000001</v>
      </c>
      <c r="K27" s="88">
        <v>1.7272000000000001</v>
      </c>
      <c r="L27" s="88">
        <v>1.6172</v>
      </c>
      <c r="M27" s="88">
        <v>1.5372000000000001</v>
      </c>
      <c r="N27" s="88">
        <v>1.5720732394366197</v>
      </c>
      <c r="O27" s="7">
        <v>1.8360000000000001</v>
      </c>
    </row>
    <row r="28" spans="1:15">
      <c r="A28" s="89" t="s">
        <v>116</v>
      </c>
      <c r="B28" s="88">
        <v>2.1067943661971831</v>
      </c>
      <c r="C28" s="88">
        <v>2.1067943661971831</v>
      </c>
      <c r="D28" s="88">
        <v>2.1067943661971831</v>
      </c>
      <c r="E28" s="88">
        <v>2.5139999999999998</v>
      </c>
      <c r="F28" s="88">
        <v>2.6144000000000003</v>
      </c>
      <c r="G28" s="88">
        <v>2.3444000000000003</v>
      </c>
      <c r="H28" s="88">
        <v>2.5740732468217526</v>
      </c>
      <c r="I28" s="88">
        <v>2.8144</v>
      </c>
      <c r="J28" s="88">
        <v>2.9144000000000001</v>
      </c>
      <c r="K28" s="88">
        <v>2.9144000000000001</v>
      </c>
      <c r="L28" s="88">
        <v>2.7143999999999999</v>
      </c>
      <c r="M28" s="88">
        <v>2.5744000000000002</v>
      </c>
      <c r="N28" s="88">
        <v>2.6343999999999999</v>
      </c>
      <c r="O28" s="7">
        <v>3.0872000000000002</v>
      </c>
    </row>
    <row r="29" spans="1:15">
      <c r="A29" s="89" t="s">
        <v>118</v>
      </c>
      <c r="B29" s="88">
        <v>3.8868281690140849</v>
      </c>
      <c r="C29" s="88">
        <v>3.8868281690140849</v>
      </c>
      <c r="D29" s="88">
        <v>3.8868281690140849</v>
      </c>
      <c r="E29" s="88">
        <v>4.6589999999999998</v>
      </c>
      <c r="F29" s="88">
        <v>4.8388</v>
      </c>
      <c r="G29" s="88">
        <v>4.3288000000000002</v>
      </c>
      <c r="H29" s="88">
        <v>4.6736262448222785</v>
      </c>
      <c r="I29" s="88">
        <v>5.2187999999999999</v>
      </c>
      <c r="J29" s="88">
        <v>5.4088000000000003</v>
      </c>
      <c r="K29" s="88">
        <v>5.4088000000000003</v>
      </c>
      <c r="L29" s="88">
        <v>5.0288000000000004</v>
      </c>
      <c r="M29" s="88">
        <v>4.7587999999999999</v>
      </c>
      <c r="N29" s="88">
        <v>4.8788</v>
      </c>
      <c r="O29" s="7">
        <v>5.7391999999999994</v>
      </c>
    </row>
    <row r="30" spans="1:15">
      <c r="A30" s="89" t="s">
        <v>120</v>
      </c>
      <c r="B30" s="88">
        <v>6.7429183098591556</v>
      </c>
      <c r="C30" s="88">
        <v>6.7429183098591556</v>
      </c>
      <c r="D30" s="88">
        <v>6.7429183098591556</v>
      </c>
      <c r="E30" s="88">
        <v>8.0329999999999995</v>
      </c>
      <c r="F30" s="88">
        <v>8.3431999999999995</v>
      </c>
      <c r="G30" s="88">
        <v>7.4831999999999992</v>
      </c>
      <c r="H30" s="88">
        <v>8.3014573387435782</v>
      </c>
      <c r="I30" s="88">
        <v>8.9731999999999985</v>
      </c>
      <c r="J30" s="88">
        <v>9.2931999999999988</v>
      </c>
      <c r="K30" s="88">
        <v>9.2931999999999988</v>
      </c>
      <c r="L30" s="88">
        <v>8.6631999999999998</v>
      </c>
      <c r="M30" s="88">
        <v>8.2132000000000005</v>
      </c>
      <c r="N30" s="88">
        <v>8.4031999999999982</v>
      </c>
      <c r="O30" s="7">
        <v>9.8463999999999992</v>
      </c>
    </row>
    <row r="31" spans="1:15">
      <c r="A31" s="89" t="s">
        <v>122</v>
      </c>
      <c r="B31" s="88">
        <v>7.7736563380281698</v>
      </c>
      <c r="C31" s="88">
        <v>7.7736563380281698</v>
      </c>
      <c r="D31" s="88">
        <v>7.7736563380281698</v>
      </c>
      <c r="E31" s="88">
        <v>9.3179999999999996</v>
      </c>
      <c r="F31" s="88">
        <v>9.6875999999999998</v>
      </c>
      <c r="G31" s="88">
        <v>8.6576000000000004</v>
      </c>
      <c r="H31" s="88">
        <v>9.5442488474028035</v>
      </c>
      <c r="I31" s="88">
        <v>10.4376</v>
      </c>
      <c r="J31" s="88">
        <v>10.817600000000001</v>
      </c>
      <c r="K31" s="88">
        <v>10.817600000000001</v>
      </c>
      <c r="L31" s="88">
        <v>10.057600000000001</v>
      </c>
      <c r="M31" s="88">
        <v>9.5275999999999996</v>
      </c>
      <c r="N31" s="88">
        <v>9.7576000000000001</v>
      </c>
      <c r="O31" s="7">
        <v>11.478399999999999</v>
      </c>
    </row>
    <row r="32" spans="1:15">
      <c r="A32" s="89" t="s">
        <v>129</v>
      </c>
      <c r="B32" s="88">
        <v>2.5000000000000001E-2</v>
      </c>
      <c r="C32" s="88">
        <v>2.5000000000000001E-2</v>
      </c>
      <c r="D32" s="88">
        <v>2.5000000000000001E-2</v>
      </c>
      <c r="E32" s="88">
        <v>2.5999999999999999E-2</v>
      </c>
      <c r="F32" s="88">
        <v>3.5000000000000003E-2</v>
      </c>
      <c r="G32" s="88">
        <v>2.5999999999999999E-2</v>
      </c>
      <c r="H32" s="88">
        <v>2.8690975387420242E-2</v>
      </c>
      <c r="I32" s="88">
        <v>2.9000000000000001E-2</v>
      </c>
      <c r="J32" s="88">
        <v>2.5000000000000001E-2</v>
      </c>
      <c r="K32" s="88">
        <v>2.5000000000000001E-2</v>
      </c>
      <c r="L32" s="88">
        <v>2.5000000000000001E-2</v>
      </c>
      <c r="M32" s="88">
        <v>2.9000000000000001E-2</v>
      </c>
      <c r="N32" s="88">
        <v>2.5000000000000001E-2</v>
      </c>
      <c r="O32" s="7">
        <v>3.4500000000000003E-2</v>
      </c>
    </row>
    <row r="33" spans="1:15">
      <c r="A33" s="89" t="str">
        <f>Linux</f>
        <v>Not Applicable</v>
      </c>
      <c r="B33" s="90">
        <v>0</v>
      </c>
      <c r="C33" s="90">
        <v>0</v>
      </c>
      <c r="D33" s="90">
        <v>0</v>
      </c>
      <c r="E33" s="90">
        <v>0</v>
      </c>
      <c r="F33" s="90">
        <v>0</v>
      </c>
      <c r="G33" s="90">
        <v>0</v>
      </c>
      <c r="H33" s="90">
        <v>0</v>
      </c>
      <c r="I33" s="90">
        <v>0</v>
      </c>
      <c r="J33" s="90">
        <v>0</v>
      </c>
      <c r="K33" s="90">
        <v>0</v>
      </c>
      <c r="L33" s="90">
        <v>0</v>
      </c>
      <c r="M33" s="90">
        <v>0</v>
      </c>
      <c r="N33" s="90">
        <v>0</v>
      </c>
      <c r="O33" s="90">
        <v>0</v>
      </c>
    </row>
  </sheetData>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39"/>
  <sheetViews>
    <sheetView topLeftCell="H20" workbookViewId="0">
      <selection activeCell="O1" sqref="O1:O1048576"/>
    </sheetView>
  </sheetViews>
  <sheetFormatPr defaultColWidth="8.83203125" defaultRowHeight="15.5"/>
  <cols>
    <col min="1" max="1" width="31.58203125" customWidth="1"/>
    <col min="2" max="2" width="21.58203125" bestFit="1" customWidth="1"/>
    <col min="3" max="3" width="16.08203125" bestFit="1" customWidth="1"/>
    <col min="4" max="5" width="16.08203125" customWidth="1"/>
    <col min="6" max="6" width="13" bestFit="1" customWidth="1"/>
    <col min="7" max="7" width="10.83203125" bestFit="1" customWidth="1"/>
    <col min="8" max="8" width="10.83203125" customWidth="1"/>
    <col min="9" max="9" width="17.58203125" bestFit="1" customWidth="1"/>
    <col min="10" max="10" width="19" bestFit="1" customWidth="1"/>
    <col min="11" max="11" width="21" bestFit="1" customWidth="1"/>
    <col min="12" max="12" width="18.58203125" bestFit="1" customWidth="1"/>
    <col min="13" max="13" width="17.08203125" bestFit="1" customWidth="1"/>
    <col min="14" max="14" width="23.08203125" bestFit="1" customWidth="1"/>
    <col min="15" max="15" width="23" bestFit="1" customWidth="1"/>
  </cols>
  <sheetData>
    <row r="1" spans="1:15">
      <c r="B1" s="31" t="s">
        <v>82</v>
      </c>
      <c r="C1" s="31" t="s">
        <v>83</v>
      </c>
      <c r="D1" s="31" t="s">
        <v>84</v>
      </c>
      <c r="E1" s="31" t="s">
        <v>85</v>
      </c>
      <c r="F1" s="74" t="s">
        <v>86</v>
      </c>
      <c r="G1" s="74" t="s">
        <v>87</v>
      </c>
      <c r="H1" s="74" t="s">
        <v>88</v>
      </c>
      <c r="I1" s="74" t="s">
        <v>89</v>
      </c>
      <c r="J1" s="74" t="s">
        <v>90</v>
      </c>
      <c r="K1" s="74" t="s">
        <v>15</v>
      </c>
      <c r="L1" s="74" t="s">
        <v>91</v>
      </c>
      <c r="M1" s="74" t="s">
        <v>92</v>
      </c>
      <c r="N1" s="74" t="s">
        <v>93</v>
      </c>
      <c r="O1" s="74" t="s">
        <v>94</v>
      </c>
    </row>
    <row r="2" spans="1:15">
      <c r="A2" s="73" t="s">
        <v>95</v>
      </c>
      <c r="B2" s="7">
        <v>7.4999999999999997E-2</v>
      </c>
      <c r="C2" s="7">
        <v>7.4999999999999997E-2</v>
      </c>
      <c r="D2" s="7">
        <v>7.4999999999999997E-2</v>
      </c>
      <c r="E2" s="7">
        <v>8.5999999999999993E-2</v>
      </c>
      <c r="F2" s="7">
        <v>0.09</v>
      </c>
      <c r="G2" s="7">
        <v>8.3000000000000004E-2</v>
      </c>
      <c r="H2" s="7">
        <v>8.7895995183299491E-2</v>
      </c>
      <c r="I2" s="7">
        <v>0.09</v>
      </c>
      <c r="J2" s="7">
        <v>0.09</v>
      </c>
      <c r="K2" s="7">
        <v>0.09</v>
      </c>
      <c r="L2" s="7">
        <v>0.10199999999999999</v>
      </c>
      <c r="M2" s="7">
        <v>0.09</v>
      </c>
      <c r="N2" s="7">
        <v>0.09</v>
      </c>
      <c r="O2" s="7">
        <v>9.7500000000000003E-2</v>
      </c>
    </row>
    <row r="3" spans="1:15">
      <c r="A3" s="30" t="s">
        <v>96</v>
      </c>
      <c r="B3" s="7">
        <v>0.1</v>
      </c>
      <c r="C3" s="7">
        <v>0.1</v>
      </c>
      <c r="D3" s="7">
        <v>0.1</v>
      </c>
      <c r="E3" s="7">
        <v>0.12</v>
      </c>
      <c r="F3" s="7">
        <v>0.12</v>
      </c>
      <c r="G3" s="7">
        <v>0.11</v>
      </c>
      <c r="H3" s="7">
        <v>0.11936239873472416</v>
      </c>
      <c r="I3" s="7">
        <v>0.12</v>
      </c>
      <c r="J3" s="7">
        <v>0.12</v>
      </c>
      <c r="K3" s="7">
        <v>0.12</v>
      </c>
      <c r="L3" s="7">
        <v>0.13600000000000001</v>
      </c>
      <c r="M3" s="7">
        <v>0.12</v>
      </c>
      <c r="N3" s="7">
        <v>0.12</v>
      </c>
      <c r="O3" s="7">
        <v>0.13</v>
      </c>
    </row>
    <row r="4" spans="1:15">
      <c r="A4" s="1" t="s">
        <v>97</v>
      </c>
      <c r="B4" s="7">
        <v>0.2</v>
      </c>
      <c r="C4" s="7">
        <v>0.2</v>
      </c>
      <c r="D4" s="7">
        <v>0.2</v>
      </c>
      <c r="E4" s="7">
        <v>0.23</v>
      </c>
      <c r="F4" s="7">
        <v>0.24</v>
      </c>
      <c r="G4" s="7">
        <v>0.22</v>
      </c>
      <c r="H4" s="7">
        <v>0.23787978303452209</v>
      </c>
      <c r="I4" s="7">
        <v>0.24</v>
      </c>
      <c r="J4" s="7">
        <v>0.24</v>
      </c>
      <c r="K4" s="7">
        <v>0.24</v>
      </c>
      <c r="L4" s="7">
        <v>0.27200000000000002</v>
      </c>
      <c r="M4" s="7">
        <v>0.24</v>
      </c>
      <c r="N4" s="7">
        <v>0.24</v>
      </c>
      <c r="O4" s="7">
        <v>0.26</v>
      </c>
    </row>
    <row r="5" spans="1:15">
      <c r="A5" s="89" t="s">
        <v>98</v>
      </c>
      <c r="B5" s="88">
        <v>0.4</v>
      </c>
      <c r="C5" s="88">
        <v>0.4</v>
      </c>
      <c r="D5" s="88">
        <v>0.4</v>
      </c>
      <c r="E5" s="88">
        <v>0.46</v>
      </c>
      <c r="F5" s="7">
        <f>2*F4</f>
        <v>0.48</v>
      </c>
      <c r="G5" s="7">
        <f>2*G4</f>
        <v>0.44</v>
      </c>
      <c r="H5" s="7">
        <v>0.48</v>
      </c>
      <c r="I5" s="7">
        <f>2*I4</f>
        <v>0.48</v>
      </c>
      <c r="J5" s="7">
        <v>0.48</v>
      </c>
      <c r="K5" s="7">
        <v>0.48</v>
      </c>
      <c r="L5" s="7">
        <v>0.54</v>
      </c>
      <c r="M5" s="7">
        <v>0.48</v>
      </c>
      <c r="N5" s="7">
        <f>2*N4</f>
        <v>0.48</v>
      </c>
      <c r="O5" s="7">
        <v>0.52</v>
      </c>
    </row>
    <row r="6" spans="1:15">
      <c r="A6" s="1" t="s">
        <v>17</v>
      </c>
      <c r="B6" s="88">
        <v>0.8</v>
      </c>
      <c r="C6" s="88">
        <v>0.8</v>
      </c>
      <c r="D6" s="88">
        <v>0.8</v>
      </c>
      <c r="E6" s="88">
        <v>0.92</v>
      </c>
      <c r="F6" s="7">
        <f>2*F5</f>
        <v>0.96</v>
      </c>
      <c r="G6" s="7">
        <f>2*G5</f>
        <v>0.88</v>
      </c>
      <c r="H6" s="7">
        <v>0.96</v>
      </c>
      <c r="I6" s="7">
        <f>2*I5</f>
        <v>0.96</v>
      </c>
      <c r="J6" s="7">
        <v>0.96</v>
      </c>
      <c r="K6" s="7">
        <v>0.96</v>
      </c>
      <c r="L6" s="7">
        <v>1.0900000000000001</v>
      </c>
      <c r="M6" s="7">
        <v>0.96</v>
      </c>
      <c r="N6" s="7">
        <f>2*N5</f>
        <v>0.96</v>
      </c>
      <c r="O6" s="7">
        <v>1.04</v>
      </c>
    </row>
    <row r="7" spans="1:15">
      <c r="A7" s="1" t="s">
        <v>99</v>
      </c>
      <c r="B7" s="7">
        <v>0.25</v>
      </c>
      <c r="C7" s="7">
        <v>0.25</v>
      </c>
      <c r="D7" s="7">
        <v>0.25</v>
      </c>
      <c r="E7" s="7">
        <v>0.28999999999999998</v>
      </c>
      <c r="F7" s="7">
        <v>0.3</v>
      </c>
      <c r="G7" s="7">
        <v>0.28000000000000003</v>
      </c>
      <c r="H7" s="7">
        <v>0.30240611924255301</v>
      </c>
      <c r="I7" s="7">
        <v>0.3</v>
      </c>
      <c r="J7" s="7">
        <v>0.33</v>
      </c>
      <c r="K7" s="7">
        <v>0.33</v>
      </c>
      <c r="L7" s="7">
        <v>0.35</v>
      </c>
      <c r="M7" s="7">
        <v>0.3</v>
      </c>
      <c r="N7" s="7">
        <v>0.3</v>
      </c>
      <c r="O7" s="7">
        <v>0.33750000000000002</v>
      </c>
    </row>
    <row r="8" spans="1:15">
      <c r="A8" s="1" t="s">
        <v>100</v>
      </c>
      <c r="B8" s="7">
        <v>0.5</v>
      </c>
      <c r="C8" s="7">
        <v>0.5</v>
      </c>
      <c r="D8" s="7">
        <v>0.5</v>
      </c>
      <c r="E8" s="7">
        <v>0.57999999999999996</v>
      </c>
      <c r="F8" s="7">
        <v>0.6</v>
      </c>
      <c r="G8" s="7">
        <v>0.55000000000000004</v>
      </c>
      <c r="H8" s="7">
        <v>0.59375504654554589</v>
      </c>
      <c r="I8" s="7">
        <v>0.6</v>
      </c>
      <c r="J8" s="7">
        <v>0.66</v>
      </c>
      <c r="K8" s="7">
        <v>0.66</v>
      </c>
      <c r="L8" s="7">
        <v>0.7</v>
      </c>
      <c r="M8" s="7">
        <v>0.6</v>
      </c>
      <c r="N8" s="7">
        <v>0.6</v>
      </c>
      <c r="O8" s="7">
        <v>0.67500000000000004</v>
      </c>
    </row>
    <row r="9" spans="1:15">
      <c r="A9" s="1" t="s">
        <v>101</v>
      </c>
      <c r="B9" s="7">
        <v>1</v>
      </c>
      <c r="C9" s="7">
        <v>1</v>
      </c>
      <c r="D9" s="7">
        <v>1</v>
      </c>
      <c r="E9" s="7">
        <v>1.1599999999999999</v>
      </c>
      <c r="F9" s="7">
        <v>1.2</v>
      </c>
      <c r="G9" s="7">
        <v>1.1000000000000001</v>
      </c>
      <c r="H9" s="7">
        <v>1.1872387442678292</v>
      </c>
      <c r="I9" s="7">
        <v>1.2</v>
      </c>
      <c r="J9" s="7">
        <v>1.32</v>
      </c>
      <c r="K9" s="7">
        <v>1.32</v>
      </c>
      <c r="L9" s="7">
        <v>1.4</v>
      </c>
      <c r="M9" s="7">
        <v>1.2</v>
      </c>
      <c r="N9" s="7">
        <v>1.2</v>
      </c>
      <c r="O9" s="7">
        <v>1.35</v>
      </c>
    </row>
    <row r="10" spans="1:15">
      <c r="A10" s="1" t="s">
        <v>102</v>
      </c>
      <c r="B10" s="7">
        <v>2</v>
      </c>
      <c r="C10" s="7">
        <v>2</v>
      </c>
      <c r="D10" s="7">
        <v>2</v>
      </c>
      <c r="E10" s="7">
        <v>2.3199999999999998</v>
      </c>
      <c r="F10" s="7">
        <v>2.4</v>
      </c>
      <c r="G10" s="7">
        <v>2.2000000000000002</v>
      </c>
      <c r="H10" s="7">
        <v>2.3742631567796946</v>
      </c>
      <c r="I10" s="7">
        <v>2.4</v>
      </c>
      <c r="J10" s="7">
        <v>2.64</v>
      </c>
      <c r="K10" s="7">
        <v>2.64</v>
      </c>
      <c r="L10" s="7">
        <v>2.8</v>
      </c>
      <c r="M10" s="7">
        <v>2.4</v>
      </c>
      <c r="N10" s="7">
        <v>2.4</v>
      </c>
      <c r="O10" s="7">
        <v>2.7</v>
      </c>
    </row>
    <row r="11" spans="1:15">
      <c r="A11" s="1" t="s">
        <v>103</v>
      </c>
      <c r="B11" s="7">
        <v>4</v>
      </c>
      <c r="C11" s="7">
        <v>4</v>
      </c>
      <c r="D11" s="7">
        <v>4</v>
      </c>
      <c r="E11" s="7">
        <v>4.6399999999999997</v>
      </c>
      <c r="F11" s="7">
        <v>4.8</v>
      </c>
      <c r="G11" s="7">
        <v>4.4000000000000004</v>
      </c>
      <c r="H11" s="7">
        <v>4.7169241017027819</v>
      </c>
      <c r="I11" s="7">
        <v>4.8</v>
      </c>
      <c r="J11" s="7">
        <v>5.28</v>
      </c>
      <c r="K11" s="7">
        <v>5.28</v>
      </c>
      <c r="L11" s="7">
        <v>5.6</v>
      </c>
      <c r="M11" s="7">
        <v>4.8</v>
      </c>
      <c r="N11" s="7">
        <v>4.8</v>
      </c>
      <c r="O11" s="7">
        <v>5.4</v>
      </c>
    </row>
    <row r="12" spans="1:15">
      <c r="A12" s="1" t="s">
        <v>104</v>
      </c>
      <c r="B12" s="7">
        <v>0.25</v>
      </c>
      <c r="C12" s="7">
        <v>0.25</v>
      </c>
      <c r="D12" s="7">
        <v>0.25</v>
      </c>
      <c r="E12" s="7">
        <v>0.28999999999999998</v>
      </c>
      <c r="F12" s="7">
        <v>0.34</v>
      </c>
      <c r="G12" s="7">
        <v>0.28000000000000003</v>
      </c>
      <c r="H12" s="7">
        <v>0.29937053270654074</v>
      </c>
      <c r="I12" s="7">
        <v>0.3</v>
      </c>
      <c r="J12" s="7">
        <v>0.34</v>
      </c>
      <c r="K12" s="7">
        <v>0.34</v>
      </c>
      <c r="L12" s="7">
        <v>0.35</v>
      </c>
      <c r="M12" s="7">
        <v>0.3</v>
      </c>
      <c r="N12" s="7">
        <v>0.3</v>
      </c>
      <c r="O12" s="7">
        <v>0.33750000000000002</v>
      </c>
    </row>
    <row r="13" spans="1:15">
      <c r="A13" s="1" t="s">
        <v>105</v>
      </c>
      <c r="B13" s="7">
        <v>0.5</v>
      </c>
      <c r="C13" s="7">
        <v>0.5</v>
      </c>
      <c r="D13" s="7">
        <v>0.5</v>
      </c>
      <c r="E13" s="7">
        <v>0.57999999999999996</v>
      </c>
      <c r="F13" s="7">
        <v>0.68</v>
      </c>
      <c r="G13" s="7">
        <v>0.55000000000000004</v>
      </c>
      <c r="H13" s="7">
        <v>0.58757398442916964</v>
      </c>
      <c r="I13" s="7">
        <v>0.6</v>
      </c>
      <c r="J13" s="7">
        <v>0.68</v>
      </c>
      <c r="K13" s="7">
        <v>0.68</v>
      </c>
      <c r="L13" s="7">
        <v>0.7</v>
      </c>
      <c r="M13" s="7">
        <v>0.6</v>
      </c>
      <c r="N13" s="7">
        <v>0.6</v>
      </c>
      <c r="O13" s="7">
        <v>0.67500000000000004</v>
      </c>
    </row>
    <row r="14" spans="1:15">
      <c r="A14" s="1" t="s">
        <v>106</v>
      </c>
      <c r="B14" s="7">
        <v>1</v>
      </c>
      <c r="C14" s="7">
        <v>1</v>
      </c>
      <c r="D14" s="7">
        <v>1</v>
      </c>
      <c r="E14" s="7">
        <v>1.1599999999999999</v>
      </c>
      <c r="F14" s="7">
        <v>1.36</v>
      </c>
      <c r="G14" s="7">
        <v>1.1000000000000001</v>
      </c>
      <c r="H14" s="7" t="s">
        <v>128</v>
      </c>
      <c r="I14" s="7">
        <v>1.2</v>
      </c>
      <c r="J14" s="7">
        <v>1.36</v>
      </c>
      <c r="K14" s="7">
        <v>1.36</v>
      </c>
      <c r="L14" s="7">
        <v>1.4</v>
      </c>
      <c r="M14" s="7">
        <v>1.2</v>
      </c>
      <c r="N14" s="7">
        <v>1.2</v>
      </c>
      <c r="O14" s="7">
        <v>1.35</v>
      </c>
    </row>
    <row r="15" spans="1:15">
      <c r="A15" s="1" t="s">
        <v>108</v>
      </c>
      <c r="B15" s="7">
        <v>2</v>
      </c>
      <c r="C15" s="7">
        <v>2</v>
      </c>
      <c r="D15" s="7">
        <v>2</v>
      </c>
      <c r="E15" s="7">
        <v>2.3199999999999998</v>
      </c>
      <c r="F15" s="7">
        <v>2.72</v>
      </c>
      <c r="G15" s="7">
        <v>2.2000000000000002</v>
      </c>
      <c r="H15" s="7" t="s">
        <v>128</v>
      </c>
      <c r="I15" s="7">
        <v>2.4</v>
      </c>
      <c r="J15" s="7">
        <v>2.72</v>
      </c>
      <c r="K15" s="7">
        <v>2.72</v>
      </c>
      <c r="L15" s="7">
        <v>2.8</v>
      </c>
      <c r="M15" s="7">
        <v>2.4</v>
      </c>
      <c r="N15" s="7">
        <v>2.4</v>
      </c>
      <c r="O15" s="7">
        <v>2.7</v>
      </c>
    </row>
    <row r="16" spans="1:15">
      <c r="A16" s="1" t="s">
        <v>110</v>
      </c>
      <c r="B16" s="7">
        <v>4</v>
      </c>
      <c r="C16" s="7">
        <v>4</v>
      </c>
      <c r="D16" s="7">
        <v>4</v>
      </c>
      <c r="E16" s="7">
        <v>4.6399999999999997</v>
      </c>
      <c r="F16" s="7">
        <v>5.44</v>
      </c>
      <c r="G16" s="7">
        <v>4.4000000000000004</v>
      </c>
      <c r="H16" s="7" t="s">
        <v>128</v>
      </c>
      <c r="I16" s="7">
        <v>4.8</v>
      </c>
      <c r="J16" s="7">
        <v>5.44</v>
      </c>
      <c r="K16" s="7">
        <v>5.44</v>
      </c>
      <c r="L16" s="7">
        <v>5.6</v>
      </c>
      <c r="M16" s="7">
        <v>4.8</v>
      </c>
      <c r="N16" s="7">
        <v>4.8</v>
      </c>
      <c r="O16" s="7">
        <v>5.4</v>
      </c>
    </row>
    <row r="17" spans="1:15">
      <c r="A17" s="1" t="s">
        <v>107</v>
      </c>
      <c r="B17" s="7">
        <v>0.45</v>
      </c>
      <c r="C17" s="7">
        <v>0.45</v>
      </c>
      <c r="D17" s="7">
        <v>0.45</v>
      </c>
      <c r="E17" s="7">
        <v>0.52</v>
      </c>
      <c r="F17" s="7">
        <v>0.61</v>
      </c>
      <c r="G17" s="7">
        <v>0.5</v>
      </c>
      <c r="H17" s="7">
        <v>0.53620680386023356</v>
      </c>
      <c r="I17" s="7">
        <v>0.54</v>
      </c>
      <c r="J17" s="7">
        <v>0.61</v>
      </c>
      <c r="K17" s="7">
        <v>0.61</v>
      </c>
      <c r="L17" s="7">
        <v>0.63</v>
      </c>
      <c r="M17" s="7">
        <v>0.54</v>
      </c>
      <c r="N17" s="7" t="s">
        <v>128</v>
      </c>
      <c r="O17" s="7" t="s">
        <v>128</v>
      </c>
    </row>
    <row r="18" spans="1:15">
      <c r="A18" s="1" t="s">
        <v>109</v>
      </c>
      <c r="B18" s="7">
        <v>0.9</v>
      </c>
      <c r="C18" s="7">
        <v>0.9</v>
      </c>
      <c r="D18" s="7">
        <v>0.9</v>
      </c>
      <c r="E18" s="7">
        <v>1.04</v>
      </c>
      <c r="F18" s="7">
        <v>1.22</v>
      </c>
      <c r="G18" s="7">
        <v>1</v>
      </c>
      <c r="H18" s="7">
        <v>1.0716989042703298</v>
      </c>
      <c r="I18" s="7">
        <v>1.08</v>
      </c>
      <c r="J18" s="7">
        <v>1.22</v>
      </c>
      <c r="K18" s="7">
        <v>1.22</v>
      </c>
      <c r="L18" s="7">
        <v>1.26</v>
      </c>
      <c r="M18" s="7">
        <v>1.08</v>
      </c>
      <c r="N18" s="7" t="s">
        <v>128</v>
      </c>
      <c r="O18" s="7" t="s">
        <v>128</v>
      </c>
    </row>
    <row r="19" spans="1:15">
      <c r="A19" s="1" t="s">
        <v>111</v>
      </c>
      <c r="B19" s="7">
        <v>1.8</v>
      </c>
      <c r="C19" s="7">
        <v>1.8</v>
      </c>
      <c r="D19" s="7">
        <v>1.8</v>
      </c>
      <c r="E19" s="7">
        <v>2.08</v>
      </c>
      <c r="F19" s="7">
        <v>2.4500000000000002</v>
      </c>
      <c r="G19" s="7">
        <v>2</v>
      </c>
      <c r="H19" s="7">
        <v>2.1425027401478087</v>
      </c>
      <c r="I19" s="7">
        <v>2.16</v>
      </c>
      <c r="J19" s="7">
        <v>2.4500000000000002</v>
      </c>
      <c r="K19" s="7">
        <v>2.4500000000000002</v>
      </c>
      <c r="L19" s="7">
        <v>2.52</v>
      </c>
      <c r="M19" s="7">
        <v>2.16</v>
      </c>
      <c r="N19" s="7" t="s">
        <v>128</v>
      </c>
      <c r="O19" s="7" t="s">
        <v>128</v>
      </c>
    </row>
    <row r="20" spans="1:15">
      <c r="A20" s="1" t="s">
        <v>113</v>
      </c>
      <c r="B20" s="7">
        <v>2.7</v>
      </c>
      <c r="C20" s="7">
        <v>2.7</v>
      </c>
      <c r="D20" s="7">
        <v>2.7</v>
      </c>
      <c r="E20" s="7">
        <v>3.12</v>
      </c>
      <c r="F20" s="7">
        <v>3.67</v>
      </c>
      <c r="G20" s="7">
        <v>3</v>
      </c>
      <c r="H20" s="7">
        <v>3.2132449062326569</v>
      </c>
      <c r="I20" s="7">
        <v>3.24</v>
      </c>
      <c r="J20" s="7">
        <v>3.67</v>
      </c>
      <c r="K20" s="7">
        <v>3.67</v>
      </c>
      <c r="L20" s="7">
        <v>3.78</v>
      </c>
      <c r="M20" s="7">
        <v>3.24</v>
      </c>
      <c r="N20" s="7" t="s">
        <v>128</v>
      </c>
      <c r="O20" s="7" t="s">
        <v>128</v>
      </c>
    </row>
    <row r="21" spans="1:15">
      <c r="A21" s="1" t="s">
        <v>115</v>
      </c>
      <c r="B21" s="7">
        <v>5.4</v>
      </c>
      <c r="C21" s="7">
        <v>5.4</v>
      </c>
      <c r="D21" s="7">
        <v>5.4</v>
      </c>
      <c r="E21" s="7">
        <v>6.24</v>
      </c>
      <c r="F21" s="7">
        <v>7.34</v>
      </c>
      <c r="G21" s="7">
        <v>6</v>
      </c>
      <c r="H21" s="7">
        <v>6.4256228763267584</v>
      </c>
      <c r="I21" s="7">
        <v>6.48</v>
      </c>
      <c r="J21" s="7">
        <v>7.34</v>
      </c>
      <c r="K21" s="7">
        <v>7.34</v>
      </c>
      <c r="L21" s="7">
        <v>7.56</v>
      </c>
      <c r="M21" s="7">
        <v>6.48</v>
      </c>
      <c r="N21" s="7" t="s">
        <v>128</v>
      </c>
      <c r="O21" s="7" t="s">
        <v>128</v>
      </c>
    </row>
    <row r="22" spans="1:15">
      <c r="A22" s="1" t="s">
        <v>117</v>
      </c>
      <c r="B22" s="7">
        <v>10.8</v>
      </c>
      <c r="C22" s="7">
        <v>10.8</v>
      </c>
      <c r="D22" s="7">
        <v>10.8</v>
      </c>
      <c r="E22" s="7">
        <v>12.48</v>
      </c>
      <c r="F22" s="7">
        <v>14.69</v>
      </c>
      <c r="G22" s="7">
        <v>12</v>
      </c>
      <c r="H22" s="7">
        <v>12.850318997307854</v>
      </c>
      <c r="I22" s="7">
        <v>12.96</v>
      </c>
      <c r="J22" s="7">
        <v>14.69</v>
      </c>
      <c r="K22" s="7">
        <v>14.69</v>
      </c>
      <c r="L22" s="7">
        <v>15.12</v>
      </c>
      <c r="M22" s="7">
        <v>12.96</v>
      </c>
      <c r="N22" s="7" t="s">
        <v>128</v>
      </c>
      <c r="O22" s="7" t="s">
        <v>128</v>
      </c>
    </row>
    <row r="23" spans="1:15">
      <c r="A23" s="1" t="s">
        <v>112</v>
      </c>
      <c r="B23" s="7">
        <v>1</v>
      </c>
      <c r="C23" s="7">
        <v>1</v>
      </c>
      <c r="D23" s="7">
        <v>1</v>
      </c>
      <c r="E23" s="7">
        <v>1.1499999999999999</v>
      </c>
      <c r="F23" s="7">
        <v>1.19</v>
      </c>
      <c r="G23" s="7">
        <v>1.0900000000000001</v>
      </c>
      <c r="H23" s="7">
        <v>1.2315677905311588</v>
      </c>
      <c r="I23" s="7">
        <v>1.26</v>
      </c>
      <c r="J23" s="7">
        <v>1.3</v>
      </c>
      <c r="K23" s="7">
        <v>1.3</v>
      </c>
      <c r="L23" s="7">
        <v>1.22</v>
      </c>
      <c r="M23" s="7">
        <v>1.17</v>
      </c>
      <c r="N23" s="7">
        <v>1.19</v>
      </c>
      <c r="O23" s="7">
        <v>1.3599999999999999</v>
      </c>
    </row>
    <row r="24" spans="1:15">
      <c r="A24" s="1" t="s">
        <v>114</v>
      </c>
      <c r="B24" s="7">
        <v>1.58</v>
      </c>
      <c r="C24" s="7">
        <v>1.58</v>
      </c>
      <c r="D24" s="7">
        <v>1.58</v>
      </c>
      <c r="E24" s="7">
        <v>1.81</v>
      </c>
      <c r="F24" s="7">
        <v>1.87</v>
      </c>
      <c r="G24" s="7">
        <v>1.71</v>
      </c>
      <c r="H24" s="7">
        <v>1.8820873721979927</v>
      </c>
      <c r="I24" s="7">
        <v>1.99</v>
      </c>
      <c r="J24" s="7">
        <v>2.04</v>
      </c>
      <c r="K24" s="7">
        <v>2.04</v>
      </c>
      <c r="L24" s="7">
        <v>1.93</v>
      </c>
      <c r="M24" s="7">
        <v>1.85</v>
      </c>
      <c r="N24" s="7">
        <v>1.88</v>
      </c>
      <c r="O24" s="7">
        <v>2.1488</v>
      </c>
    </row>
    <row r="25" spans="1:15">
      <c r="A25" s="1" t="s">
        <v>116</v>
      </c>
      <c r="B25" s="7">
        <v>2.73</v>
      </c>
      <c r="C25" s="7">
        <v>2.73</v>
      </c>
      <c r="D25" s="7">
        <v>2.73</v>
      </c>
      <c r="E25" s="7">
        <v>3.14</v>
      </c>
      <c r="F25" s="7">
        <v>3.24</v>
      </c>
      <c r="G25" s="7">
        <v>2.97</v>
      </c>
      <c r="H25" s="7">
        <v>3.1996740886123205</v>
      </c>
      <c r="I25" s="7">
        <v>3.44</v>
      </c>
      <c r="J25" s="7">
        <v>3.54</v>
      </c>
      <c r="K25" s="7">
        <v>3.54</v>
      </c>
      <c r="L25" s="7">
        <v>3.34</v>
      </c>
      <c r="M25" s="7">
        <v>3.2</v>
      </c>
      <c r="N25" s="7">
        <v>3.26</v>
      </c>
      <c r="O25" s="7">
        <v>3.7128000000000001</v>
      </c>
    </row>
    <row r="26" spans="1:15">
      <c r="A26" s="1" t="s">
        <v>118</v>
      </c>
      <c r="B26" s="7">
        <v>5.14</v>
      </c>
      <c r="C26" s="7">
        <v>5.14</v>
      </c>
      <c r="D26" s="7">
        <v>5.14</v>
      </c>
      <c r="E26" s="7">
        <v>5.91</v>
      </c>
      <c r="F26" s="7">
        <v>6.09</v>
      </c>
      <c r="G26" s="7">
        <v>5.58</v>
      </c>
      <c r="H26" s="7">
        <v>5.9248271374198476</v>
      </c>
      <c r="I26" s="7">
        <v>6.47</v>
      </c>
      <c r="J26" s="7">
        <v>6.66</v>
      </c>
      <c r="K26" s="7">
        <v>6.66</v>
      </c>
      <c r="L26" s="7">
        <v>6.28</v>
      </c>
      <c r="M26" s="7">
        <v>6.01</v>
      </c>
      <c r="N26" s="7">
        <v>6.13</v>
      </c>
      <c r="O26" s="7">
        <v>6.9903999999999993</v>
      </c>
    </row>
    <row r="27" spans="1:15">
      <c r="A27" s="1" t="s">
        <v>120</v>
      </c>
      <c r="B27" s="7">
        <v>8.6199999999999992</v>
      </c>
      <c r="C27" s="7">
        <v>8.6199999999999992</v>
      </c>
      <c r="D27" s="7">
        <v>8.6199999999999992</v>
      </c>
      <c r="E27" s="7">
        <v>9.91</v>
      </c>
      <c r="F27" s="7">
        <v>10.220000000000001</v>
      </c>
      <c r="G27" s="7">
        <v>9.36</v>
      </c>
      <c r="H27" s="7">
        <v>10.178258172955902</v>
      </c>
      <c r="I27" s="7">
        <v>10.85</v>
      </c>
      <c r="J27" s="7">
        <v>11.17</v>
      </c>
      <c r="K27" s="7">
        <v>11.17</v>
      </c>
      <c r="L27" s="7">
        <v>10.54</v>
      </c>
      <c r="M27" s="7">
        <v>10.09</v>
      </c>
      <c r="N27" s="7">
        <v>10.28</v>
      </c>
      <c r="O27" s="7">
        <v>11.723199999999999</v>
      </c>
    </row>
    <row r="28" spans="1:15">
      <c r="A28" s="1" t="s">
        <v>122</v>
      </c>
      <c r="B28" s="7">
        <v>10.28</v>
      </c>
      <c r="C28" s="7">
        <v>10.28</v>
      </c>
      <c r="D28" s="7">
        <v>10.28</v>
      </c>
      <c r="E28" s="7">
        <v>11.82</v>
      </c>
      <c r="F28" s="7">
        <v>12.19</v>
      </c>
      <c r="G28" s="7">
        <v>11.16</v>
      </c>
      <c r="H28" s="7">
        <v>12.046649658759762</v>
      </c>
      <c r="I28" s="7">
        <v>12.94</v>
      </c>
      <c r="J28" s="7">
        <v>13.32</v>
      </c>
      <c r="K28" s="7">
        <v>13.32</v>
      </c>
      <c r="L28" s="7">
        <v>12.56</v>
      </c>
      <c r="M28" s="7">
        <v>12.03</v>
      </c>
      <c r="N28" s="7">
        <v>12.26</v>
      </c>
      <c r="O28" s="7">
        <v>13.980799999999999</v>
      </c>
    </row>
    <row r="29" spans="1:15">
      <c r="A29" s="1" t="s">
        <v>124</v>
      </c>
      <c r="B29" s="7">
        <v>0.25</v>
      </c>
      <c r="C29" s="7">
        <v>0.25</v>
      </c>
      <c r="D29" s="7">
        <v>0.25</v>
      </c>
      <c r="E29" s="7">
        <v>0.28999999999999998</v>
      </c>
      <c r="F29" s="7">
        <v>0.32</v>
      </c>
      <c r="G29" s="75">
        <f>1.1*C29</f>
        <v>0.27500000000000002</v>
      </c>
      <c r="H29" s="75">
        <v>0.29410766004295502</v>
      </c>
      <c r="I29" s="75">
        <f>1.2*C29</f>
        <v>0.3</v>
      </c>
      <c r="J29" s="7" t="s">
        <v>128</v>
      </c>
      <c r="K29" s="7">
        <v>0.33</v>
      </c>
      <c r="L29" s="7">
        <v>0.38500000000000001</v>
      </c>
      <c r="M29" s="7" t="s">
        <v>128</v>
      </c>
      <c r="N29" s="7" t="s">
        <v>128</v>
      </c>
      <c r="O29" s="7" t="s">
        <v>128</v>
      </c>
    </row>
    <row r="30" spans="1:15">
      <c r="A30" s="1" t="s">
        <v>125</v>
      </c>
      <c r="B30" s="7">
        <f t="shared" ref="B30:C32" si="0">B29*2</f>
        <v>0.5</v>
      </c>
      <c r="C30" s="7">
        <f t="shared" si="0"/>
        <v>0.5</v>
      </c>
      <c r="D30" s="7">
        <f t="shared" ref="D30" si="1">D29*2</f>
        <v>0.5</v>
      </c>
      <c r="E30" s="7">
        <v>0.57999999999999996</v>
      </c>
      <c r="F30" s="7">
        <v>0.64</v>
      </c>
      <c r="G30" s="75">
        <f>1.1*C30</f>
        <v>0.55000000000000004</v>
      </c>
      <c r="H30" s="75">
        <v>0.59062348249913466</v>
      </c>
      <c r="I30" s="75">
        <f>1.2*C30</f>
        <v>0.6</v>
      </c>
      <c r="J30" s="7" t="s">
        <v>128</v>
      </c>
      <c r="K30" s="7">
        <v>0.66</v>
      </c>
      <c r="L30" s="7">
        <v>0.77</v>
      </c>
      <c r="M30" s="7" t="s">
        <v>128</v>
      </c>
      <c r="N30" s="7" t="s">
        <v>128</v>
      </c>
      <c r="O30" s="7" t="s">
        <v>128</v>
      </c>
    </row>
    <row r="31" spans="1:15">
      <c r="A31" s="1" t="s">
        <v>126</v>
      </c>
      <c r="B31" s="7">
        <f t="shared" si="0"/>
        <v>1</v>
      </c>
      <c r="C31" s="7">
        <f t="shared" si="0"/>
        <v>1</v>
      </c>
      <c r="D31" s="7">
        <f t="shared" ref="D31" si="2">D30*2</f>
        <v>1</v>
      </c>
      <c r="E31" s="7">
        <v>1.1599999999999999</v>
      </c>
      <c r="F31" s="7">
        <v>1.28</v>
      </c>
      <c r="G31" s="75">
        <f>1.1*C31</f>
        <v>1.1000000000000001</v>
      </c>
      <c r="H31" s="75">
        <v>1.1839128349839092</v>
      </c>
      <c r="I31" s="75">
        <f>1.2*C31</f>
        <v>1.2</v>
      </c>
      <c r="J31" s="7" t="s">
        <v>128</v>
      </c>
      <c r="K31" s="7">
        <v>1.32</v>
      </c>
      <c r="L31" s="7">
        <v>1.54</v>
      </c>
      <c r="M31" s="7" t="s">
        <v>128</v>
      </c>
      <c r="N31" s="7" t="s">
        <v>128</v>
      </c>
      <c r="O31" s="7" t="s">
        <v>128</v>
      </c>
    </row>
    <row r="32" spans="1:15">
      <c r="A32" s="1" t="s">
        <v>127</v>
      </c>
      <c r="B32" s="7">
        <f t="shared" si="0"/>
        <v>2</v>
      </c>
      <c r="C32" s="7">
        <f t="shared" si="0"/>
        <v>2</v>
      </c>
      <c r="D32" s="7">
        <f t="shared" ref="D32" si="3">D31*2</f>
        <v>2</v>
      </c>
      <c r="E32" s="7">
        <v>2.3199999999999998</v>
      </c>
      <c r="F32" s="7">
        <v>2.56</v>
      </c>
      <c r="G32" s="75">
        <f>1.1*C32</f>
        <v>2.2000000000000002</v>
      </c>
      <c r="H32" s="75">
        <v>2.3706653939321054</v>
      </c>
      <c r="I32" s="75">
        <f>1.2*C32</f>
        <v>2.4</v>
      </c>
      <c r="J32" s="7" t="s">
        <v>128</v>
      </c>
      <c r="K32" s="7">
        <v>2.64</v>
      </c>
      <c r="L32" s="7">
        <v>3.08</v>
      </c>
      <c r="M32" s="7" t="s">
        <v>128</v>
      </c>
      <c r="N32" s="7" t="s">
        <v>128</v>
      </c>
      <c r="O32" s="7" t="s">
        <v>128</v>
      </c>
    </row>
    <row r="33" spans="1:15">
      <c r="A33" s="1" t="s">
        <v>119</v>
      </c>
      <c r="B33" s="7">
        <v>2.0499999999999998</v>
      </c>
      <c r="C33" s="7">
        <v>2.0499999999999998</v>
      </c>
      <c r="D33" s="7">
        <v>2.0499999999999998</v>
      </c>
      <c r="E33" s="7">
        <v>2.36</v>
      </c>
      <c r="F33" s="7">
        <v>2.7</v>
      </c>
      <c r="G33" s="7">
        <v>2.2599999999999998</v>
      </c>
      <c r="H33" s="7">
        <v>2.4029300752993157</v>
      </c>
      <c r="I33" s="7">
        <v>2.46</v>
      </c>
      <c r="J33" s="7" t="s">
        <v>128</v>
      </c>
      <c r="K33" s="7">
        <v>3.07</v>
      </c>
      <c r="L33" s="7">
        <v>3.04</v>
      </c>
      <c r="M33" s="7" t="s">
        <v>128</v>
      </c>
      <c r="N33" s="7">
        <v>2.46</v>
      </c>
      <c r="O33" s="7" t="s">
        <v>128</v>
      </c>
    </row>
    <row r="34" spans="1:15">
      <c r="A34" s="1" t="s">
        <v>121</v>
      </c>
      <c r="B34" s="7">
        <v>4.0999999999999996</v>
      </c>
      <c r="C34" s="7">
        <v>4.0999999999999996</v>
      </c>
      <c r="D34" s="7">
        <v>4.0999999999999996</v>
      </c>
      <c r="E34" s="7">
        <v>4.72</v>
      </c>
      <c r="F34" s="7">
        <v>5.4</v>
      </c>
      <c r="G34" s="7">
        <v>4.5199999999999996</v>
      </c>
      <c r="H34" s="7">
        <v>4.807917104783308</v>
      </c>
      <c r="I34" s="7">
        <v>4.92</v>
      </c>
      <c r="J34" s="7" t="s">
        <v>128</v>
      </c>
      <c r="K34" s="7">
        <v>6.14</v>
      </c>
      <c r="L34" s="7">
        <v>6.08</v>
      </c>
      <c r="M34" s="7" t="s">
        <v>128</v>
      </c>
      <c r="N34" s="7">
        <v>4.92</v>
      </c>
      <c r="O34" s="7" t="s">
        <v>128</v>
      </c>
    </row>
    <row r="35" spans="1:15">
      <c r="A35" s="1" t="s">
        <v>123</v>
      </c>
      <c r="B35" s="7">
        <v>8.1999999999999993</v>
      </c>
      <c r="C35" s="7">
        <v>8.1999999999999993</v>
      </c>
      <c r="D35" s="7">
        <v>8.1999999999999993</v>
      </c>
      <c r="E35" s="7">
        <v>9.42</v>
      </c>
      <c r="F35" s="7">
        <v>10.8</v>
      </c>
      <c r="G35" s="7">
        <v>9.0399999999999991</v>
      </c>
      <c r="H35" s="7">
        <v>9.6178913490127815</v>
      </c>
      <c r="I35" s="7">
        <v>9.84</v>
      </c>
      <c r="J35" s="7" t="s">
        <v>128</v>
      </c>
      <c r="K35" s="7">
        <v>12.28</v>
      </c>
      <c r="L35" s="7">
        <v>12.16</v>
      </c>
      <c r="M35" s="7" t="s">
        <v>128</v>
      </c>
      <c r="N35" s="7">
        <v>9.84</v>
      </c>
      <c r="O35" s="7" t="s">
        <v>128</v>
      </c>
    </row>
    <row r="36" spans="1:15">
      <c r="A36" s="1" t="s">
        <v>129</v>
      </c>
      <c r="B36" s="75">
        <v>2.5000000000000001E-2</v>
      </c>
      <c r="C36" s="75">
        <v>2.5000000000000001E-2</v>
      </c>
      <c r="D36" s="75">
        <v>2.5000000000000001E-2</v>
      </c>
      <c r="E36" s="75">
        <v>2.5999999999999999E-2</v>
      </c>
      <c r="F36" s="7">
        <v>3.5000000000000003E-2</v>
      </c>
      <c r="G36" s="75">
        <v>2.5999999999999999E-2</v>
      </c>
      <c r="H36" s="75">
        <v>2.8690975387420242E-2</v>
      </c>
      <c r="I36" s="75">
        <v>2.9000000000000001E-2</v>
      </c>
      <c r="J36" s="7">
        <v>2.5000000000000001E-2</v>
      </c>
      <c r="K36" s="7">
        <v>2.5000000000000001E-2</v>
      </c>
      <c r="L36" s="7">
        <v>2.5000000000000001E-2</v>
      </c>
      <c r="M36" s="7">
        <v>2.9000000000000001E-2</v>
      </c>
      <c r="N36" s="7">
        <v>2.5000000000000001E-2</v>
      </c>
      <c r="O36" s="7">
        <v>3.4500000000000003E-2</v>
      </c>
    </row>
    <row r="37" spans="1:15">
      <c r="A37" s="1" t="s">
        <v>20</v>
      </c>
      <c r="B37" s="75">
        <v>4.1900000000000004</v>
      </c>
      <c r="C37" s="75">
        <v>4.1900000000000004</v>
      </c>
      <c r="D37" s="75">
        <v>4.1900000000000004</v>
      </c>
      <c r="E37" s="75">
        <v>4.1900000000000004</v>
      </c>
      <c r="F37" s="75">
        <v>4.1900000000000004</v>
      </c>
      <c r="G37" s="75">
        <v>4.1900000000000004</v>
      </c>
      <c r="H37" s="75">
        <v>4.1900000000000004</v>
      </c>
      <c r="I37" s="75">
        <v>4.1900000000000004</v>
      </c>
      <c r="J37" s="75">
        <v>4.1900000000000004</v>
      </c>
      <c r="K37" s="75">
        <v>4.1900000000000004</v>
      </c>
      <c r="L37" s="75">
        <v>4.1900000000000004</v>
      </c>
      <c r="M37" s="75">
        <v>4.1900000000000004</v>
      </c>
      <c r="N37" s="75">
        <v>4.1900000000000004</v>
      </c>
      <c r="O37" s="75">
        <v>4.1900000000000004</v>
      </c>
    </row>
    <row r="38" spans="1:15">
      <c r="A38" s="1" t="s">
        <v>130</v>
      </c>
      <c r="B38" s="75">
        <v>0.44</v>
      </c>
      <c r="C38" s="75">
        <v>0.44</v>
      </c>
      <c r="D38" s="75">
        <v>0.44</v>
      </c>
      <c r="E38" s="75">
        <v>0.44</v>
      </c>
      <c r="F38" s="75">
        <v>0.44</v>
      </c>
      <c r="G38" s="75">
        <v>0.44</v>
      </c>
      <c r="H38" s="75">
        <v>0.44</v>
      </c>
      <c r="I38" s="75">
        <v>0.44</v>
      </c>
      <c r="J38" s="75">
        <v>0.44</v>
      </c>
      <c r="K38" s="75">
        <v>0.44</v>
      </c>
      <c r="L38" s="75">
        <v>0.44</v>
      </c>
      <c r="M38" s="75">
        <v>0.44</v>
      </c>
      <c r="N38" s="75">
        <v>0.44</v>
      </c>
      <c r="O38" s="75">
        <v>0.44</v>
      </c>
    </row>
    <row r="39" spans="1:15">
      <c r="A39" s="1" t="s">
        <v>131</v>
      </c>
      <c r="B39" s="75">
        <v>0</v>
      </c>
      <c r="C39" s="75">
        <v>0</v>
      </c>
      <c r="D39" s="75">
        <v>0</v>
      </c>
      <c r="E39" s="75">
        <v>0</v>
      </c>
      <c r="F39" s="75">
        <v>0</v>
      </c>
      <c r="G39" s="75">
        <v>0</v>
      </c>
      <c r="H39" s="75"/>
      <c r="I39" s="75">
        <v>0</v>
      </c>
      <c r="J39" s="75">
        <v>0</v>
      </c>
      <c r="K39" s="75">
        <v>0</v>
      </c>
      <c r="L39" s="75">
        <v>0</v>
      </c>
      <c r="M39" s="75">
        <v>0</v>
      </c>
      <c r="N39" s="75">
        <v>0</v>
      </c>
      <c r="O39" s="75">
        <v>0</v>
      </c>
    </row>
  </sheetData>
  <dataConsolidate/>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
  <sheetViews>
    <sheetView workbookViewId="0">
      <selection activeCell="B33" sqref="B33"/>
    </sheetView>
  </sheetViews>
  <sheetFormatPr defaultColWidth="8.83203125" defaultRowHeight="15.5"/>
  <cols>
    <col min="1" max="1" width="38.83203125" customWidth="1"/>
    <col min="2" max="2" width="37.33203125" customWidth="1"/>
    <col min="4" max="4" width="28" customWidth="1"/>
  </cols>
  <sheetData>
    <row r="1" spans="1:4">
      <c r="A1" t="str">
        <f>D2</f>
        <v>Windows</v>
      </c>
      <c r="B1" t="str">
        <f>D3</f>
        <v>Amazon Linux 2</v>
      </c>
      <c r="D1" t="s">
        <v>132</v>
      </c>
    </row>
    <row r="2" spans="1:4">
      <c r="A2" t="s">
        <v>20</v>
      </c>
      <c r="B2" t="s">
        <v>133</v>
      </c>
      <c r="D2" t="s">
        <v>13</v>
      </c>
    </row>
    <row r="3" spans="1:4">
      <c r="A3" t="s">
        <v>130</v>
      </c>
      <c r="D3" t="s">
        <v>134</v>
      </c>
    </row>
    <row r="4" spans="1:4">
      <c r="A4" t="s">
        <v>131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27</vt:i4>
      </vt:variant>
    </vt:vector>
  </HeadingPairs>
  <TitlesOfParts>
    <vt:vector size="35" baseType="lpstr">
      <vt:lpstr>Price Estimator</vt:lpstr>
      <vt:lpstr>Usage Pattern</vt:lpstr>
      <vt:lpstr>Sheet1</vt:lpstr>
      <vt:lpstr>AWS Region-Instance Lin</vt:lpstr>
      <vt:lpstr>AWS Region-Instance Win</vt:lpstr>
      <vt:lpstr>AWS Region-Instance Pricing Lin</vt:lpstr>
      <vt:lpstr>AWS Region-Instance Pricing Win</vt:lpstr>
      <vt:lpstr>Constants</vt:lpstr>
      <vt:lpstr>AWS_Region_Instance_Pricing_Linux</vt:lpstr>
      <vt:lpstr>AWS_Region_Instance_Pricing_Windows</vt:lpstr>
      <vt:lpstr>buffer_percent</vt:lpstr>
      <vt:lpstr>Buffer_Weekday_Hours</vt:lpstr>
      <vt:lpstr>Buffer_Weekend_Hours</vt:lpstr>
      <vt:lpstr>const_RDS_SAL_Options</vt:lpstr>
      <vt:lpstr>Days_In_Weekend</vt:lpstr>
      <vt:lpstr>Days_In_Work_Week</vt:lpstr>
      <vt:lpstr>fleet_utilization</vt:lpstr>
      <vt:lpstr>instance_price_stopped</vt:lpstr>
      <vt:lpstr>instance_price_streaming</vt:lpstr>
      <vt:lpstr>license_model</vt:lpstr>
      <vt:lpstr>Linux</vt:lpstr>
      <vt:lpstr>Monthly_Buffer_WD_Hours</vt:lpstr>
      <vt:lpstr>Monthly_Buffer_WE_Hours</vt:lpstr>
      <vt:lpstr>Monthly_Used_WD_Hours</vt:lpstr>
      <vt:lpstr>Monthly_Used_WE_Hours</vt:lpstr>
      <vt:lpstr>OS_Type</vt:lpstr>
      <vt:lpstr>RDS_SAL_Fee</vt:lpstr>
      <vt:lpstr>Selected_AWS_Region</vt:lpstr>
      <vt:lpstr>Selected_Instance</vt:lpstr>
      <vt:lpstr>total_users</vt:lpstr>
      <vt:lpstr>US_East__N._Virginia___AWS_Region_Instance_Pricing</vt:lpstr>
      <vt:lpstr>Used_Weekday_Hours</vt:lpstr>
      <vt:lpstr>Used_Weekend_Hours</vt:lpstr>
      <vt:lpstr>Weeks_Per_Month</vt:lpstr>
      <vt:lpstr>Windows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Parth Gupta</cp:lastModifiedBy>
  <cp:revision/>
  <dcterms:created xsi:type="dcterms:W3CDTF">2017-03-09T22:24:32Z</dcterms:created>
  <dcterms:modified xsi:type="dcterms:W3CDTF">2023-07-17T14:08:07Z</dcterms:modified>
  <cp:category/>
  <cp:contentStatus/>
</cp:coreProperties>
</file>